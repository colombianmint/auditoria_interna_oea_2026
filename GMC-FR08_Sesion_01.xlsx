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d.docs.live.net/6b20ea477b36462f/Cursor/Auditorias/Interna OEA/app/listados/"/>
    </mc:Choice>
  </mc:AlternateContent>
  <xr:revisionPtr revIDLastSave="30" documentId="11_9506DAD793C5CE2E29AF7B4071C9BA41DDDD9AF9" xr6:coauthVersionLast="47" xr6:coauthVersionMax="47" xr10:uidLastSave="{EC0BBF10-ACB1-4A34-89F2-A1DD7AE4945C}"/>
  <bookViews>
    <workbookView xWindow="28680" yWindow="2610" windowWidth="24240" windowHeight="13020" activeTab="1" xr2:uid="{00000000-000D-0000-FFFF-FFFF00000000}"/>
  </bookViews>
  <sheets>
    <sheet name="LISTADO" sheetId="1" r:id="rId1"/>
    <sheet name="Banco Pregun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G48" i="1"/>
  <c r="D48" i="1"/>
  <c r="B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yesidrf@gmail.com</author>
  </authors>
  <commentList>
    <comment ref="H48" authorId="0" shapeId="0" xr:uid="{00000000-0006-0000-0000-000001000000}">
      <text>
        <r>
          <rPr>
            <sz val="11"/>
            <color theme="1"/>
            <rFont val="Calibri"/>
            <family val="2"/>
            <scheme val="minor"/>
          </rPr>
          <t xml:space="preserve">Nivel de implementación
1. No se ha Implementado
2. Su implementación es deficiente
3. Está en proceso de implementación
4. Se ha implementado completamente
5. Modelo en resultado trabaja con mejoramiento continuo
</t>
        </r>
      </text>
    </comment>
    <comment ref="J48" authorId="0" shapeId="0" xr:uid="{00000000-0006-0000-0000-000002000000}">
      <text>
        <r>
          <rPr>
            <sz val="11"/>
            <color theme="1"/>
            <rFont val="Calibri"/>
            <family val="2"/>
            <scheme val="minor"/>
          </rPr>
          <t xml:space="preserve">Nivel de Eficacia
1. No cumple con el objetivo, ni los indicadores y no tiene plan de acción
2. No cumple el objetivo, no los indicadores y tiene plan de acción
3. Cumple los indicadores algunas veces y genera plan de acción
4. Cumple con los indicadores y alcanza objetivos
5. Sobrepasa los indicadores se puede proyectar mas
</t>
        </r>
      </text>
    </comment>
  </commentList>
</comments>
</file>

<file path=xl/sharedStrings.xml><?xml version="1.0" encoding="utf-8"?>
<sst xmlns="http://schemas.openxmlformats.org/spreadsheetml/2006/main" count="485" uniqueCount="176">
  <si>
    <t xml:space="preserve">CI COLOMBIAN MINT </t>
  </si>
  <si>
    <t>Codigo: GMC-FR08</t>
  </si>
  <si>
    <t xml:space="preserve">   LISTADO DE VERIFICACION </t>
  </si>
  <si>
    <t>Versión:1</t>
  </si>
  <si>
    <t>Fecha de aprobación: 
01/07/2021</t>
  </si>
  <si>
    <t>1. PLANIFICACIÓN DE LA AUDITORIA</t>
  </si>
  <si>
    <t xml:space="preserve">FECHA </t>
  </si>
  <si>
    <t>2026-07-06</t>
  </si>
  <si>
    <t>PROCESO</t>
  </si>
  <si>
    <t>SRF SEGURIDAD</t>
  </si>
  <si>
    <t xml:space="preserve">AUDITOR </t>
  </si>
  <si>
    <t>Estefanía Granda</t>
  </si>
  <si>
    <t>AUDITADO</t>
  </si>
  <si>
    <t>Juan Carlos Ramírez / Diego Mesa</t>
  </si>
  <si>
    <t>DOCUMENTOS RELACIONADOS</t>
  </si>
  <si>
    <t>GMC-FR07 Plan Auditorías 2026 · Res. 015/2016 Art. 4º · GMC-FR08</t>
  </si>
  <si>
    <t>REQUISITOS</t>
  </si>
  <si>
    <t>OEA 1.11, OEA 1.12, OEA 3.1, OEA 3.2, OEA 3.3, OEA 3.4, OEA 3.5, OEA 3.6, OEA 3.7, OEA 3.8, OEA 3.9</t>
  </si>
  <si>
    <t>OBJETIVO</t>
  </si>
  <si>
    <t>Validar el cumplimiento de los requisitos de la resolución 015 de 2016 para el OEA Exportador</t>
  </si>
  <si>
    <t>ALCANCE</t>
  </si>
  <si>
    <t>Todos los requisitos OEA de la resolución 015 de 2016 para operador económico autorizado tipo Exportador.</t>
  </si>
  <si>
    <t>2. ENTREVISTA</t>
  </si>
  <si>
    <t>PREGUNTAS</t>
  </si>
  <si>
    <t>COMENTARIOS</t>
  </si>
  <si>
    <t>CUMPLE</t>
  </si>
  <si>
    <t>SI</t>
  </si>
  <si>
    <t>NO</t>
  </si>
  <si>
    <t>3. HALLAZGOS INDIVIDUALES</t>
  </si>
  <si>
    <t>4. ASPECTOS POR RESALTAR (AR)</t>
  </si>
  <si>
    <t>5. ASPECTOS POR MEJORAR (AM)</t>
  </si>
  <si>
    <t>REQUISITO</t>
  </si>
  <si>
    <t>NO CONFORMIDAD (NC)</t>
  </si>
  <si>
    <t>RIESGO</t>
  </si>
  <si>
    <t>Nº AC</t>
  </si>
  <si>
    <t>TOTAL AR</t>
  </si>
  <si>
    <t>TOTAL AM</t>
  </si>
  <si>
    <t>TOTAL NC</t>
  </si>
  <si>
    <t>NIVEL IMPLEMENTACIÓN</t>
  </si>
  <si>
    <t>NIVEL EFICACIA</t>
  </si>
  <si>
    <t>Requisito</t>
  </si>
  <si>
    <t>Proceso</t>
  </si>
  <si>
    <t>Responsable</t>
  </si>
  <si>
    <t>Descripción del requisito</t>
  </si>
  <si>
    <t>Preguntas Sugeridas Auditoría Interna</t>
  </si>
  <si>
    <t>OEA 1.11</t>
  </si>
  <si>
    <t>Establecer las áreas consideradas como críticas en sus instalaciones.</t>
  </si>
  <si>
    <t>¿Relacione el documento del proceso que describan cada paso del análisis de riesgos, desde la identificación hasta la implementación de medidas de mitigación. (esto debe incluir el análisis y estudio de los lugares donde se realizan actividades de alistamiento, almacenamiento, cargue y descargue, que correspondan a terceros y tengan relación con la operación de la empresa que se encuentra en trámite de revalidación). Para sustentar, presente evidencia documental vigente de Colombian Mint, tales como: SRF-FR22 (Matriz Control de Ingreso Personal Días No Laborables.), SRF-GU07 (Guía ingreso y salida de personal interno operativos - empleados)?</t>
  </si>
  <si>
    <t>¿Relacione la matriz de identificación de riesgos que contenga como mínimo la identificación del área, evaluación de la vulnerabilidad, análisis de amenaza, estimación de consecuencias, cálculo del riesgo, implementación de medidas de mitigación y el monitoreo y revisión continua. (esto debe incluir el análisis y estudio de los lugares donde se realizan actividades de alistamiento, almacenamiento, cargue y descargue, que correspondan a terceros y tengan relación con la operación de la empresa que se encuentra en trámite de revalidación). ¿Qué registros o documentos (SRF-FR22 (Matriz Control de Ingreso Personal Días No Laborables.), SRF-FR21 (Matriz Asignación de Acceso Áreas Críticas - Horario Diurno/Nocturno)) demuestran el cumplimiento de lo solicitado?</t>
  </si>
  <si>
    <t>¿Relaciones los registros de los planes y medidas de mitigación desarrollados e implementados para abordar los riesgos identificados en las áreas críticas. Esto puede incluir planes de seguridad física, procedimientos de respuesta ante emergencias y protocolos de continuidad del negocio. Para sustentar, presente evidencia documental vigente de Colombian Mint, tales como: SRF-FR21 (Matriz Asignación de Acceso Áreas Críticas - Horario Diurno/Nocturno), SRF-MT01 (Matriz de áreas críticas)?</t>
  </si>
  <si>
    <t>¿Relacione el último informe de los planes y medidas de mitigación desarrollados e implementados para abordar los riesgos identificados en las áreas críticas, por ejemplo (puede incluir planes de seguridad física, procedimientos de respuesta ante emergencias). Para sustentar, presente evidencia documental vigente de Colombian Mint, tales como: SRF-FR21 (Matriz Asignación de Acceso Áreas Críticas - Horario Diurno/Nocturno), SRF-MT01 (Matriz de áreas críticas)?</t>
  </si>
  <si>
    <t>¿según criterios de auditoría OEA (ISO 19011) para el requisito OEA 1.11: Plano físico con áreas críticas marcadas. ¿Qué evidencia objetiva presenta el auditado? Documentos de referencia: SRF-FR21 (Matriz Asignación de Acceso Áreas Críticas - Horario Diurno/Nocturno), SRF-MT01 (Matriz de áreas críticas)?</t>
  </si>
  <si>
    <t>¿según criterios de auditoría OEA (ISO 19011) para el requisito OEA 1.11: Manual de seguridad. ¿Qué evidencia objetiva presenta el auditado? Documentos de referencia: SRF-PL01 (Plan de Gestión de Seguridad y Protección), SRF-FR22 (Matriz Control de Ingreso Personal Días No Laborables.)?</t>
  </si>
  <si>
    <t>¿Verifique el documento SRF-GU04 (Guía para la seguridad física). ¿Está vigente, identificado en el SGD, aprobado por la autoridad competente y en aplicación para el requisito OEA 1.11?</t>
  </si>
  <si>
    <t>¿El requisito OEA 1.11 exige: "Establecer las áreas consideradas como críticas en sus instalaciones." ¿Qué controles operativos y registros demuestran su cumplimiento sostenido en Colombian Mint?</t>
  </si>
  <si>
    <t>¿Presente el GPE-DC01 y sus registros asociados. ¿Con qué periodicidad se actualiza, quién es el responsable y cómo se evidencia su aplicación al requisito OEA 1.11?</t>
  </si>
  <si>
    <t>¿El personal entrevistado conoce los requisitos de OEA 1.11 y su responsabilidad en el cumplimiento? Solicite evidencia de socialización, inducción o capacitación?</t>
  </si>
  <si>
    <t>OEA 1.12</t>
  </si>
  <si>
    <t>Utilizar sistemas de alarma y/o videocámaras de vigilancia para monitorear, alertar, registrar y supervisar las instalaciones e impedir el acceso no autorizado a las áreas críticas y de manejo, inspección o almacenamiento de carga.</t>
  </si>
  <si>
    <t>¿de acuerdo con el análisis de las áreas que se consideraron como criticas identifiqué mediante soportes (un informe donde relaciones con fotografías) la instalación de CCTV o alarmas en cada uno de los puntos críticos dentro de las instalaciones. ¿Qué registros o documentos (SRF-FR08 (Control de ingreso áreas críticas), SRF-FR07 (Formato de inspección unidad de carga.)) demuestran el cumplimiento de lo solicitado?</t>
  </si>
  <si>
    <t>¿Adjunte copia del procedimiento de monitoreo del CCTV, alarmas e identificación de alertas tempranas en donde se describa el paso a paso para el control del sistema, los responsables del proceso y las actividades a desarrollar. Para sustentar, presente evidencia documental vigente de Colombian Mint, tales como: SRF-FR08 (Control de ingreso áreas críticas), SRF-FR07 (Formato de inspección unidad de carga.)?</t>
  </si>
  <si>
    <t>¿Relacione en un video la supervisión y monitoreo de las cámaras en tiempo real. (esto debe incluir el análisis y estudio de los lugares donde se realizan actividades de alistamiento, almacenamiento, cargue y descargue, que correspondan a terceros y tengan relación con la operación de la empresa que se encuentra en trámite de revalidación). ¿Qué registros o documentos (SRF-FR07 (Formato de inspección unidad de carga.), SRF-FR18 (Inspección de contenedores marítimos)) demuestran el cumplimiento de lo solicitado?</t>
  </si>
  <si>
    <t>¿Relacione el soporte de capacitación entrenamiento y reentrenamiento garantice la idoneidad del personal para el manejo de medios tecnológicos. (esto debe incluir el análisis y estudio de los lugares donde se realizan actividades de alistamiento, almacenamiento, cargue y descargue, que correspondan a terceros y tengan relación con la operación de la empresa que se encuentra en trámite de revalidación). ¿Qué registros o documentos (SRF-FR07 (Formato de inspección unidad de carga.), SRF-GU10 (Guía seguridad y protección para manejo y control de circuitos cerrado)) demuestran el cumplimiento de lo solicitado?</t>
  </si>
  <si>
    <t>¿Adjunte copia de la última revisión y mantenimiento del CCTV y alarmas donde se garantice el funcionamiento, alcance y cobertura para el control de las áreas a las cuales se destinó. (esto debe incluir el análisis y estudio de los lugares donde se realizan actividades de alistamiento, almacenamiento, cargue y descargue, que correspondan a terceros y tengan relación con la operación de la empresa que se encuentra en trámite de revalidación). ¿Qué registros o documentos (SRF-FR08 (Control de ingreso áreas críticas), SRF-FR07 (Formato de inspección unidad de carga.)) demuestran el cumplimiento de lo solicitado?</t>
  </si>
  <si>
    <t>¿según criterios de auditoría OEA (ISO 19011) para el requisito OEA 1.12: Contrato de servicio de seguridad electrónica. ¿Qué evidencia objetiva presenta el auditado? Documentos de referencia: SRF-FR07 (Formato de inspección unidad de carga.), SRF-PL01 (Plan de Gestión de Seguridad y Protección)?</t>
  </si>
  <si>
    <t>¿según criterios de auditoría OEA (ISO 19011) para el requisito OEA 1.12: Evidencia de instalación (fotos, planos). ¿Qué evidencia objetiva presenta el auditado? Documentos de referencia: SRF-FR07 (Formato de inspección unidad de carga.), SRF-FR18 (Inspección de contenedores marítimos)?</t>
  </si>
  <si>
    <t>¿Verifique el documento SRF-GU04 (Guía para la seguridad física). ¿Está vigente, identificado en el SGD, aprobado por la autoridad competente y en aplicación para el requisito OEA 1.12?</t>
  </si>
  <si>
    <t>¿en la auditoría ARCA (marzo 2025) se registró respecto a OEA 1.12: "Durante el ejercicio de validación del requisito se notifica por parte del área de seguridad que no se puede verificar el acceso a las cámaras de vigilancia de la compañía por confidencialidad de la información, lo que c". ¿Cuál es el estado actual de las acciones correctivas y su verificación efectiva? Evidencia de cierre sugerida: SRF-FR07 (Formato de inspección unidad de carga.)?</t>
  </si>
  <si>
    <t>¿El requisito OEA 1.12 exige: "Utilizar sistemas de alarma y/o videocámaras de vigilancia para monitorear, alertar, registrar y supervisar las instalaciones e impedir el acceso no autorizado a las áreas críticas." ¿Qué controles operativos y registros demuestran su cumplimiento sostenido en Colombian Mint?</t>
  </si>
  <si>
    <t>OEA 3.1</t>
  </si>
  <si>
    <t>Debe tener implementadas medidas de seguridad apropiadas para mantener la integridad de los contenedores y demás unidades de carga en el punto de llenado para protegerlos contra la introducción de personal y/o materiales no autorizados.</t>
  </si>
  <si>
    <t>¿Relacione en un informe los lugares donde se realizan actividades de alistamiento, almacenamiento, cargue y descargue de la mercancía de importación (para cada una debe indicar dirección, tipo de lugar propio o contratado, empresa de vigilancia y porcentaje de movimiento de la carga). ¿Qué registros o documentos (SRF-FR07 (Formato de inspección unidad de carga), SRF-FR18 (Inspección de contenedores marítimos)) demuestran el cumplimiento de lo solicitado?</t>
  </si>
  <si>
    <t>¿Relacione todos los procedimientos que identifiquen el control que se realiza en el punto de llenado para la seguridad de la unidad de carga como: Acceso restringido, Vigilancia por videocámaras, Iluminación adecuada, Verificación de identidad, Inspecciones regulares, Capacitación del personal, Sellado de contenedores. Para sustentar, presente evidencia documental vigente de Colombian Mint, tales como: SRF-FR07 (Formato de inspección unidad de carga), SRF-FR18 (Inspección de contenedores marítimos)?</t>
  </si>
  <si>
    <t>¿Adjunte evidencias fotográficas y de video del área o las áreas de zona de carga, controles de acceso a dichas áreas, y registros como minutas. ¿Qué registros o documentos (SRF-FR07 (Formato de inspección unidad de carga), SST-FR23 (Registro de inducción y reinducción)) demuestran el cumplimiento de lo solicitado?</t>
  </si>
  <si>
    <t>¿En caso de tener tercerizado el proceso de almacenamiento, alistamiento cargué y descargué de la mercancía se debe adjuntar contratos o acuerdos de seguridad firmados por ambas partes, en donde los terceros, se comprometen a cumplir las medidas de seguridad enfocadas a los requisitos OEA, y el solicitante se compromete a realizar seguimiento permanente. ¿Qué registros o documentos (SRF-GU04 (Guía para la seguridad física), SRF-FR07 (Formato de inspección unidad de carga)) demuestran el cumplimiento de lo solicitado?</t>
  </si>
  <si>
    <t>¿Identifique y relacione en los procedimientos quienes son las personas autorizadas para participar en las operaciones de llenado. Para sustentar, presente evidencia documental vigente de Colombian Mint, tales como: SRF-FR07 (Formato de inspección unidad de carga), SRF-FR18 (Inspección de contenedores marítimos)?</t>
  </si>
  <si>
    <t>¿llevar el control de quienes participan en las operaciones de llenado mediante formatos o documentos en los que se deje constancia de su participación (el documento en mención debe establecer como información, el nombre del funcionario, número de identificación y firma). Para sustentar, presente evidencia documental vigente de Colombian Mint, tales como: SRF-FR07 (Formato de inspección unidad de carga), GPC-FR06 (Control y registro material de empaque y embalaje)?</t>
  </si>
  <si>
    <t>¿según criterios de auditoría OEA (ISO 19011) para el requisito OEA 3.1: Procedimiento documentado de inspección física de contenedores. ¿Qué evidencia objetiva presenta el auditado? Documentos de referencia: SRF-FR18 (Inspección de contenedores marítimos), SRF-FR07 (Formato de inspección unidad de carga)?</t>
  </si>
  <si>
    <t>¿Verifique el documento GEX-PR01 (Procedimiento Gestión de exportación doré). ¿Está vigente, identificado en el SGD, aprobado por la autoridad competente y en aplicación para el requisito OEA 3.1?</t>
  </si>
  <si>
    <t>¿Verifique el documento GEX-PR03 (Cadena de Suministro Internacional Exportaciones e Importaciones). ¿Está vigente, identificado en el SGD, aprobado por la autoridad competente y en aplicación para el requisito OEA 3.1?</t>
  </si>
  <si>
    <t>¿Verifique el documento SRF-GU08 (Guía de ingreso y salida de transportadoras de valores). ¿Está vigente, identificado en el SGD, aprobado por la autoridad competente y en aplicación para el requisito OEA 3.1?</t>
  </si>
  <si>
    <t>OEA 3.2</t>
  </si>
  <si>
    <t>Debe almacenar los contenedores y demás unidades de carga, llenas y vacías, en áreas seguras que impidan el acceso y/o manipulación no autorizada. Dichas áreas deben ser inspeccionadas periódicamente y se debe dejar registro de la inspección y el responsable.</t>
  </si>
  <si>
    <t>¿Relacione el procedimiento documentado en donde se indica el paso a paso para reconocer y reportar a las autoridades competentes, cuando los sellos, contenedores y/o demás unidades de carga han sido vulnerados. Para sustentar, presente evidencia documental vigente de Colombian Mint, tales como: SRF-FR12 (Control y Registro de Sellos y Precintos), SRF-FR07 (Formato de inspección unidad de carga)?</t>
  </si>
  <si>
    <t>¿Indique si realiza algún proceso de trazabilidad del sello desde el momento de la instalación hasta la recepción de la unidad de carga por parte del cliente, relacione las evidencias de la actividad que desarrolla. Para sustentar, presente evidencia documental vigente de Colombian Mint, tales como: SRF-FR07 (Formato de inspección unidad de carga), SRF-FR12 (Control y Registro de Sellos y Precintos)?</t>
  </si>
  <si>
    <t>¿Adjunte un informe fotográfico del envió de los últimos 3 contenedores de importación versus el reporte de recibido por parte de su proveedor en el exterior. ¿Qué registros o documentos (SRF-FR18 (Inspección de contenedores marítimos), SRF-FR12 (Control y Registro de Sellos y Precintos)) demuestran el cumplimiento de lo solicitado?</t>
  </si>
  <si>
    <t>¿En caso de no realizar esta actividad de almacenamiento, la empresa debe contar con un soporte de contingencia que detalle las acciones a seguir en caso de que la unidad por eventualidad fortuita deba pernoctar en las instalaciones, cumpliendo con los parámetros de supervisión e inspección requerida. ¿Qué registros o documentos (SRF-FR07 (Formato de inspección unidad de carga), SRF-FR18 (Inspección de contenedores marítimos)) demuestran el cumplimiento de lo solicitado?</t>
  </si>
  <si>
    <t>¿según criterios de auditoría OEA (ISO 19011) para el requisito OEA 3.2: Procedimiento de reporte de vulneración de sellos o contenedores. ¿Qué evidencia objetiva presenta el auditado? Documentos de referencia: SRF-FR12 (Control y Registro de Sellos y Precintos), SRF-FR18 (Inspección de contenedores marítimos)?</t>
  </si>
  <si>
    <t>¿según criterios de auditoría OEA (ISO 19011) para el requisito OEA 3.2: Formato de informe de incidentes de seguridad. ¿Qué evidencia objetiva presenta el auditado? Documentos de referencia: SRF-FR07 (Formato de inspección unidad de carga), GPD-FR02 (Formato para Reporte y Atención a Incidentes)?</t>
  </si>
  <si>
    <t>¿según criterios de auditoría OEA (ISO 19011) para el requisito OEA 3.2: Registros de notificaciones realizadas a autoridades competentes. ¿Qué evidencia objetiva presenta el auditado? Documentos de referencia: SRF-FR12 (Control y Registro de Sellos y Precintos), SRF-FR07 (Formato de inspección unidad de carga)?</t>
  </si>
  <si>
    <t>¿Verifique el documento SRF-GU05 (Protocolo de eventos inesperados). ¿Está vigente, identificado en el SGD, aprobado por la autoridad competente y en aplicación para el requisito OEA 3.2?</t>
  </si>
  <si>
    <t>¿Verifique el documento GEX-GU05 (Guía faltantes sobrantes y/o discrepancia de la mercancía). ¿Está vigente, identificado en el SGD, aprobado por la autoridad competente y en aplicación para el requisito OEA 3.2?</t>
  </si>
  <si>
    <t>¿Verifique el documento GCP-FR11 (Reporte Interno y Seguimiento de Denuncias.). ¿Está vigente, identificado en el SGD, aprobado por la autoridad competente y en aplicación para el requisito OEA 3.2?</t>
  </si>
  <si>
    <t>OEA 3.3</t>
  </si>
  <si>
    <t>Debe instalar sellos de alta seguridad que cumplan o excedan los estándares de la norma vigente ISO 17712 a todos los contenedores cargados y demás unidades de carga precintables.</t>
  </si>
  <si>
    <t>¿Relacione el procedimiento documentado, donde se describa el paso a paso para el cierre seguro del contenedor o unidad de carga. Para sustentar, presente evidencia documental vigente de Colombian Mint, tales como: SRF-FR07 (Formato de inspección unidad de carga), GPD-PR02 (Procedimiento para la Gestión de Incidentes de Seguridad de la Informa)?</t>
  </si>
  <si>
    <t>¿Adjunte formatos diligenciados (listas de chequeo), registro fotográfico, especifique como se realiza la denuncia ¿Qué, ¿cómo, ¿cuándo y a quién. ¿Qué registros o documentos (SRF-FR12 (Control y Registro de Sellos y Precintos), SRF-FR07 (Formato de inspección unidad de carga)) demuestran el cumplimiento de lo solicitado?</t>
  </si>
  <si>
    <t>¿En caso de que este procedimiento se realice en otras ubicaciones por parte de un tercero relacione los contratos o acuerdos de seguridad firmado por ambas partes en donde se especifique el cumplimiento de esta actividad. Para sustentar, presente evidencia documental vigente de Colombian Mint, tales como: GPD-PR02 (Procedimiento para la Gestión de Incidentes de Seguridad de la Informa), GCP-GU06 (Procedimiento para la detección tratamiento y solución de denuncias)?</t>
  </si>
  <si>
    <t>¿adicional a la certificación que es entregada por parte de la entidad auditada, se debe adjuntar registro fotográfico de la instalación de sellos. ¿Qué registros o documentos (SRF-FR12 (Control y Registro de Sellos y Precintos), GPC-FR06 (Control y registro material de empaque y embalaje)) demuestran el cumplimiento de lo solicitado?</t>
  </si>
  <si>
    <t>¿según criterios de auditoría OEA (ISO 19011) para el requisito OEA 3.3: Procedimiento de detección de accesos no autorizados a contenedores o zonas de carga. ¿Qué evidencia objetiva presenta el auditado? Documentos de referencia: GPD-PR02 (Procedimiento para la Gestión de Incidentes de Seguridad de la Informa), GCP-GU06 (Procedimiento para la detección tratamiento y solución de denuncias)?</t>
  </si>
  <si>
    <t>¿según criterios de auditoría OEA (ISO 19011) para el requisito OEA 3.3: Planes de contingencia o protocolos de reacción ante incidentes. ¿Qué evidencia objetiva presenta el auditado? Documentos de referencia: GPD-PR02 (Procedimiento para la Gestión de Incidentes de Seguridad de la Informa), SRF-FR12 (Control y Registro de Sellos y Precintos)?</t>
  </si>
  <si>
    <t>¿Verifique el documento SRF-FR18 (Inspección de contenedores marítimos). ¿Está vigente, identificado en el SGD, aprobado por la autoridad competente y en aplicación para el requisito OEA 3.3?</t>
  </si>
  <si>
    <t>¿Verifique el documento SRF-GU11 (Guía para el control de material de embalaje). ¿Está vigente, identificado en el SGD, aprobado por la autoridad competente y en aplicación para el requisito OEA 3.3?</t>
  </si>
  <si>
    <t>¿Verifique el documento GEX-PR03 (Cadena de Suministro Internacional Exportaciones e Importaciones.). ¿Está vigente, identificado en el SGD, aprobado por la autoridad competente y en aplicación para el requisito OEA 3.3?</t>
  </si>
  <si>
    <t>¿Verifique el documento SRF-GU05 (Protocolo de eventos inesperados). ¿Está vigente, identificado en el SGD, aprobado por la autoridad competente y en aplicación para el requisito OEA 3.3?</t>
  </si>
  <si>
    <t>OEA 3.4</t>
  </si>
  <si>
    <t>Tener procedimientos documentados para el control del almacenamiento, acceso, distribución, registro de uso, cambio y colocación de los sellos, solo personal autorizado debe manejar y distribuir los sellos.</t>
  </si>
  <si>
    <t>¿Relacione el procedimiento que indica las medidas de seguridad implementadas, lista de chequeo, registro de control donde se relacione el responsable de la verificación. Para sustentar, presente evidencia documental vigente de Colombian Mint, tales como: SRF-FR12 (Control y Registro de Sellos y Precintos), SRF-FR20 (Lista de chequeo inspección material de embalaje)?</t>
  </si>
  <si>
    <t>¿Indique mediante un informe como se realizó la selección de la ubicación segura para la unidad de carga, cuáles son los controles de acceso a estas áreas, si existen videocámaras que la controlen, las medidas de iluminación, al lugar y los registros de inspección a esta zona. Para sustentar, presente evidencia documental vigente de Colombian Mint, tales como: SRF-FR07 (Formato de inspección unidad de carga), SRF-FR21 (Matriz Asignación de Acceso Áreas Críticas - Horario Diurno / Nocturno)?</t>
  </si>
  <si>
    <t>¿según criterios de auditoría OEA (ISO 19011) para el requisito OEA 3.4: Plano y registro de zonas seguras de almacenamiento. ¿Qué evidencia objetiva presenta el auditado? Documentos de referencia: SRF-FR12 (Control y Registro de Sellos y Precintos), GPC-FR06 (Control y registro material de empaque y embalaje)?</t>
  </si>
  <si>
    <t>¿según criterios de auditoría OEA (ISO 19011) para el requisito OEA 3.4: Procedimiento de almacenamiento seguro y control de accesos. ¿Qué evidencia objetiva presenta el auditado? Documentos de referencia: SRF-FR12 (Control y Registro de Sellos y Precintos), SRF-FR22 (Matriz Control de Ingreso Personal Días No Laborables)?</t>
  </si>
  <si>
    <t>¿según criterios de auditoría OEA (ISO 19011) para el requisito OEA 3.4: Registros de inspección periódica de las áreas de almacenamiento (con nombre y firma del responsable). ¿Qué evidencia objetiva presenta el auditado? Documentos de referencia: SRF-FR07 (Formato de inspección unidad de carga), SRF-FR18 (Inspección de contenedores marítimos)?</t>
  </si>
  <si>
    <t>¿según criterios de auditoría OEA (ISO 19011) para el requisito OEA 3.4: Evidencia de sistemas de control de acceso físico. ¿Qué evidencia objetiva presenta el auditado? Documentos de referencia: SRF-FR12 (Control y Registro de Sellos y Precintos), SRF-FR21 (Matriz Asignación de Acceso Áreas Críticas - Horario Diurno / Nocturno)?</t>
  </si>
  <si>
    <t>¿Verifique el documento SRF-GU11 (Guía para el control de material de embalaje). ¿Está vigente, identificado en el SGD, aprobado por la autoridad competente y en aplicación para el requisito OEA 3.4?</t>
  </si>
  <si>
    <t>¿Verifique el documento SRF-MT01 (Matriz de áreas críticas.). ¿Está vigente, identificado en el SGD, aprobado por la autoridad competente y en aplicación para el requisito OEA 3.4?</t>
  </si>
  <si>
    <t>¿Verifique el documento SRF-GU08 (Guía de ingreso y salida de transportadoras de valores.). ¿Está vigente, identificado en el SGD, aprobado por la autoridad competente y en aplicación para el requisito OEA 3.4?</t>
  </si>
  <si>
    <t>OEA 3.5</t>
  </si>
  <si>
    <t>Tener procedimientos documentados para cerrar y sellar correctamente los contenedores y demás unidades de carga en el punto de llenado, y cada vez que sean abiertos.</t>
  </si>
  <si>
    <t>¿Relacione las evidencias de la última importación donde su proveedor verifica, cierra y sella correctamente los contenedores y demás unidades de carga. ¿Qué registros o documentos (SRF-FR18 (Inspección de contenedores marítimos), SRF-FR12 (Control y Registro de Sellos y Precintos)) demuestran el cumplimiento de lo solicitado?</t>
  </si>
  <si>
    <t>¿Adjunte listas de chequeo diligenciadas, registros fotográficos, acuerdos de seguridad, certificaciones en el exterior del OEA o sus similares. ¿Qué registros o documentos (SRF-FR12 (Control y Registro de Sellos y Precintos), SST-FR23 (Registro de inducción y reinducción)) demuestran el cumplimiento de lo solicitado?</t>
  </si>
  <si>
    <t>¿contar con manifestación suscrita por medio la cual se evidencie la solicitud de requerimiento de la práctica del correcto cerrado y sellado de los contenedores y demás unidades de carga, adjuntando a ello evidencias fotográficas. ¿Qué registros o documentos (SRF-FR18 (Inspección de contenedores marítimos), SRF-FR12 (Control y Registro de Sellos y Precintos)) demuestran el cumplimiento de lo solicitado?</t>
  </si>
  <si>
    <t>¿según criterios de auditoría OEA (ISO 19011) para el requisito OEA 3.5: Carta o declaración de seguridad del proveedor en el exterior. ¿Qué evidencia objetiva presenta el auditado? Documentos de referencia: SRF-FR12 (Control y Registro de Sellos y Precintos), SRF-FR18 (Inspección de contenedores marítimos)?</t>
  </si>
  <si>
    <t>¿según criterios de auditoría OEA (ISO 19011) para el requisito OEA 3.5: Procedimiento del proveedor para el cerrado y sellado de contenedores. ¿Qué evidencia objetiva presenta el auditado? Documentos de referencia: SRF-FR18 (Inspección de contenedores marítimos), GEX-PR01 (Procedimiento Gestión de exportación doré)?</t>
  </si>
  <si>
    <t>¿según criterios de auditoría OEA (ISO 19011) para el requisito OEA 3.5: Evidencia de capacitación del proveedor en protocolos de seguridad logística. ¿Qué evidencia objetiva presenta el auditado? Documentos de referencia: GCP-CO01 (Informe Visitas de Campo Cumplimiento, si la capacitación/protocolo se), SRF-FR12 (Control y Registro de Sellos y Precintos)?</t>
  </si>
  <si>
    <t>¿Verifique el documento SRF-GU11 (Guía para el control de material de embalaje). ¿Está vigente, identificado en el SGD, aprobado por la autoridad competente y en aplicación para el requisito OEA 3.5?</t>
  </si>
  <si>
    <t>¿Verifique el documento GEX-PR02 (Procedimiento Gestión de exportación concentrados). ¿Está vigente, identificado en el SGD, aprobado por la autoridad competente y en aplicación para el requisito OEA 3.5?</t>
  </si>
  <si>
    <t>¿Verifique el documento GEX-PR03 (Cadena de Suministro Internacional Exportaciones e Importaciones.). ¿Está vigente, identificado en el SGD, aprobado por la autoridad competente y en aplicación para el requisito OEA 3.5?</t>
  </si>
  <si>
    <t>¿Verifique el documento GHM-FR12 (Asistencia y evaluación de la eficacia de la formación). ¿Está vigente, identificado en el SGD, aprobado por la autoridad competente y en aplicación para el requisito OEA 3.5?</t>
  </si>
  <si>
    <t>OEA 3.6</t>
  </si>
  <si>
    <t>Tener procedimientos documentados para verificar en el punto de llenado la integridad física de la estructura del contenedor y demás unidades de carga antes del llenado, esto incluye la confiabilidad de los mecanismos de cerradura de las puertas.</t>
  </si>
  <si>
    <t>¿Relacione las evidencias de la última importación donde su proveedor implementa la inspección de contenedores y demás unidades de carga antes del llenado, incluida la fiabilidad de los mecanismos de cierre de puertas. ¿Qué registros o documentos (SRF-FR07 (Formato de inspección unidad de carga), SRF-FR18 (Inspección de contenedores marítimos)) demuestran el cumplimiento de lo solicitado?</t>
  </si>
  <si>
    <t>¿Adjunte listas de chequeo diligenciadas, registros fotográficos, acuerdos de seguridad, certificaciones en el exterior del OEA o sus similares. ¿Qué registros o documentos (SRF-FR20 (Lista de chequeo inspección material de embalaje), SRF-FR07 (Formato de inspección unidad de carga)) demuestran el cumplimiento de lo solicitado?</t>
  </si>
  <si>
    <t>¿se debe evidenciar a través de lista de chequeo la inspección de contenedores y demás unidades de carga antes del llenado, adjunto a ello evidencias fotográficas. ¿Qué registros o documentos (SRF-FR20 (Lista de chequeo inspección material de embalaje), SRF-FR07 (Formato de inspección unidad de carga)) demuestran el cumplimiento de lo solicitado?</t>
  </si>
  <si>
    <t>¿según criterios de auditoría OEA (ISO 19011) para el requisito OEA 3.6: Procedimiento de inspección de los siete puntos (7-point inspection). ¿Qué evidencia objetiva presenta el auditado? Documentos de referencia: SRF-FR07 (Formato de inspección unidad de carga), SRF-FR18 (Inspección de contenedores marítimos)?</t>
  </si>
  <si>
    <t>¿según criterios de auditoría OEA (ISO 19011) para el requisito OEA 3.6: Lista de chequeo 7-point usada por el proveedor. ¿Qué evidencia objetiva presenta el auditado? Documentos de referencia: SRF-FR20 (Lista de chequeo inspección material de embalaje), SRF-FR07 (Formato de inspección unidad de carga)?</t>
  </si>
  <si>
    <t>¿según criterios de auditoría OEA (ISO 19011) para el requisito OEA 3.6: Registros fotográficos o escritos de inspecciones antes del llenado. ¿Qué evidencia objetiva presenta el auditado? Documentos de referencia: SRF-FR07 (Formato de inspección unidad de carga), SRF-FR18 (Inspección de contenedores marítimos)?</t>
  </si>
  <si>
    <t>¿Verifique el documento GEX-PR01 (Procedimiento Gestión de exportación doré). ¿Está vigente, identificado en el SGD, aprobado por la autoridad competente y en aplicación para el requisito OEA 3.6?</t>
  </si>
  <si>
    <t>¿Verifique el documento GEX-PR03 (Cadena de Suministro Internacional Exportaciones e Importaciones). ¿Está vigente, identificado en el SGD, aprobado por la autoridad competente y en aplicación para el requisito OEA 3.6?</t>
  </si>
  <si>
    <t>¿Verifique el documento GPC-FR06 (Control y registro material de empaque y embalaje). ¿Está vigente, identificado en el SGD, aprobado por la autoridad competente y en aplicación para el requisito OEA 3.6?</t>
  </si>
  <si>
    <t>¿El requisito OEA 3.6 exige: "Tener procedimientos documentados para verificar en el punto de llenado la integridad física de la estructura del contenedor y demás unidades de carga antes del llenado, esto inclu." ¿Qué controles operativos y registros demuestran su cumplimiento sostenido en Colombian Mint?</t>
  </si>
  <si>
    <t>OEA 3.7</t>
  </si>
  <si>
    <t>Tener procedimientos documentados para detectar, neutralizar y denunciar la entrada no autorizada a los contenedores y demás unidades de carga, así como a las áreas de almacenamiento de los mismos.</t>
  </si>
  <si>
    <t>¿se debe contar con certificación de cumplimiento del uso de los sellos bajo la norma ISO 17712 o manifestación suscrita donde se logre evidenciar la solicitud del uso de estos sellos con dicha normatividad por parte del importador a su proveedor. ¿Qué registros o documentos (GCP-FR03 (Anexos Informe de Debida Diligencia, si el soporte corresponde al prov), SRF-FR12 (Control y Registro de Sellos y Precintos)) demuestran el cumplimiento de lo solicitado?</t>
  </si>
  <si>
    <t>¿Adjunte una trazabilidad de la última importación donde se evidencie el sello de salida de bodega del proveedor hasta llegar a bodega en Colombia. ¿Qué registros o documentos (GCP-FR03 (Anexos Informe de Debida Diligencia, si el soporte corresponde al prov), SRF-FR12 (Control y Registro de Sellos y Precintos)) demuestran el cumplimiento de lo solicitado?</t>
  </si>
  <si>
    <t>¿según criterios de auditoría OEA (ISO 19011) para el requisito OEA 3.7: Especificaciones técnicas de los sellos utilizados (certificación ISO 17712). ¿Qué evidencia objetiva presenta el auditado? Documentos de referencia: SRF-FR12 (Control y Registro de Sellos y Precintos), GCP-FR03 (Anexos Informe de Debida Diligencia, si el soporte corresponde al prov)?</t>
  </si>
  <si>
    <t>¿Verifique el documento GCP-GU06 (Procedimiento para la detección tratamiento y solución de denuncias). ¿Está vigente, identificado en el SGD, aprobado por la autoridad competente y en aplicación para el requisito OEA 3.7?</t>
  </si>
  <si>
    <t>¿Verifique el documento SRF-GU05 (Protocolo de eventos inesperados). ¿Está vigente, identificado en el SGD, aprobado por la autoridad competente y en aplicación para el requisito OEA 3.7?</t>
  </si>
  <si>
    <t>¿Verifique el documento SRF-FR16 (Registro de comportamientos inseguros). ¿Está vigente, identificado en el SGD, aprobado por la autoridad competente y en aplicación para el requisito OEA 3.7?</t>
  </si>
  <si>
    <t>¿Verifique el documento GCP-FR11 (Reporte Interno y Seguimiento de Denuncias). ¿Está vigente, identificado en el SGD, aprobado por la autoridad competente y en aplicación para el requisito OEA 3.7?</t>
  </si>
  <si>
    <t>¿Verifique el documento GEX-GU03 (Operaciones Sospechosas en la Cadena de Suministro Internacional.). ¿Está vigente, identificado en el SGD, aprobado por la autoridad competente y en aplicación para el requisito OEA 3.7?</t>
  </si>
  <si>
    <t>¿Verifique el documento GCP-FR02 (Informe de Debida Diligencia, si se evalúa el proveedor). ¿Está vigente, identificado en el SGD, aprobado por la autoridad competente y en aplicación para el requisito OEA 3.7?</t>
  </si>
  <si>
    <t>¿Verifique el documento SRF-FR18 (Inspección de contenedores marítimos). ¿Está vigente, identificado en el SGD, aprobado por la autoridad competente y en aplicación para el requisito OEA 3.7?</t>
  </si>
  <si>
    <t>OEA 3.8</t>
  </si>
  <si>
    <t>Tener procedimientos documentados para la inspección de contenedores y demás unidades de carga en el punto de llenado, del proceso de verificación e inspección debe quedar un registro documental en donde conste el responsable, el proceso debe incluir como mínimo, los siguientes puntos:(13 CONTENEDOR), (13 REMOLQUE), (8 VEHÍCULO)</t>
  </si>
  <si>
    <t>¿implementar listas de chequeos de inspección a contenedores y unidades de carga de manera individual, entendiéndose así que se debe contar con dos formatos diferentes, en los cuales se deje constancia del encargado de la actividad de inspección. ¿Qué registros o documentos (SRF-FR07 (Formato de inspección unidad de carga), SRF-FR18 (Inspección de contenedores marítimos)) demuestran el cumplimiento de lo solicitado?</t>
  </si>
  <si>
    <t>¿según criterios de auditoría OEA (ISO 19011) para el requisito OEA 3.8: Procedimiento documentado para la inspección de contenedores vacíos (método de los x puntos) antes del llenado. ¿Qué evidencia objetiva presenta el auditado? Documentos de referencia: SRF-FR18 (Inspección de contenedores marítimos), SRF-FR07 (Formato de inspección unidad de carga)?</t>
  </si>
  <si>
    <t>¿Verifique el documento GEX-PR01 (Procedimiento Gestión de exportación doré). ¿Está vigente, identificado en el SGD, aprobado por la autoridad competente y en aplicación para el requisito OEA 3.8?</t>
  </si>
  <si>
    <t>¿Verifique el documento GEX-PR03 (Cadena de Suministro Internacional Exportaciones e Importaciones). ¿Está vigente, identificado en el SGD, aprobado por la autoridad competente y en aplicación para el requisito OEA 3.8?</t>
  </si>
  <si>
    <t>¿Verifique el documento SRF-FR20 (Lista de chequeo inspección material de embalaje). ¿Está vigente, identificado en el SGD, aprobado por la autoridad competente y en aplicación para el requisito OEA 3.8?</t>
  </si>
  <si>
    <t>¿El requisito OEA 3.8 exige: "Tener procedimientos documentados para la inspección de contenedores y demás unidades de carga en el punto de llenado, del proceso de verificación e inspección debe quedar un regis." ¿Qué controles operativos y registros demuestran su cumplimiento sostenido en Colombian Mint?</t>
  </si>
  <si>
    <t>¿Presente el GEX-PR02 y sus registros asociados. ¿Con qué periodicidad se actualiza, quién es el responsable y cómo se evidencia su aplicación al requisito OEA 3.8?</t>
  </si>
  <si>
    <t>¿El personal entrevistado conoce los requisitos de OEA 3.8 y su responsabilidad en el cumplimiento? Solicite evidencia de socialización, inducción o capacitación?</t>
  </si>
  <si>
    <t>¿Existen indicadores o métricas definidos para verificar la eficacia de los controles del requisito OEA 3.8? Presente resultados del último periodo evaluado?</t>
  </si>
  <si>
    <t>¿Se han realizado revisiones por la dirección, auditorías internas o inspecciones sobre el requisito OEA 3.8 en los últimos 12 meses?</t>
  </si>
  <si>
    <t>OEA 3.9</t>
  </si>
  <si>
    <t>Tener procedimientos documentados para reconocer y reportar a las autoridades competentes, cuando los sellos, contenedores y/o demás unidades de carga han sido vulnerados.</t>
  </si>
  <si>
    <t>¿Mencione el procedimiento utilizado para describir los mecanismos establecidos y los medios para reportar. Indique la ubicación en el documento (numeral, ítem, párrafos, página, etc.) Indique versión, fecha e identificación en el SGD. Para sustentar, presente evidencia documental vigente de Colombian Mint, tales como: GCP-GU06 (Procedimiento para la detección tratamiento y solución de denuncias), SRF-FR12 (Control y Registro de Sellos y Precintos)?</t>
  </si>
  <si>
    <t>¿Mencione formatos, plantillas, sistemas, entre otros, utilizados para identificar y reportar a las autoridades competentes en caso de vulneración de sellos, contenedores y/o demás unidades de carga. Para sustentar, presente evidencia documental vigente de Colombian Mint, tales como: SRF-FR12 (Control y Registro de Sellos y Precintos), GCP-GU06 (Procedimiento para la detección tratamiento y solución de denuncias)?</t>
  </si>
  <si>
    <t>¿Relacione las evidencias de implementación (Ej. Procedimiento(s), instructivo(s), manual(es), directorio, evidencia reportes, registro de incidente, reporte ROS, captura de pantalla, correos, socializaciones, acciones de mejora en eventos materializados, etc.). Para sustentar, presente evidencia documental vigente de Colombian Mint, tales como: SRF-FR12 (Control y Registro de Sellos y Precintos), GCP-GU06 (Procedimiento para la detección tratamiento y solución de denuncias)?</t>
  </si>
  <si>
    <t>¿Verifique el documento GCP-FR11 (Reporte Interno y Seguimiento de Denuncias). ¿Está vigente, identificado en el SGD, aprobado por la autoridad competente y en aplicación para el requisito OEA 3.9?</t>
  </si>
  <si>
    <t>¿Verifique el documento SRF-GU05 (Protocolo de eventos inesperados). ¿Está vigente, identificado en el SGD, aprobado por la autoridad competente y en aplicación para el requisito OEA 3.9?</t>
  </si>
  <si>
    <t>¿Verifique el documento SRF-FR16 (Registro de comportamientos inseguros). ¿Está vigente, identificado en el SGD, aprobado por la autoridad competente y en aplicación para el requisito OEA 3.9?</t>
  </si>
  <si>
    <t>¿Verifique el documento GEX-GU03 (Operaciones Sospechosas en la Cadena de Suministro Internacional). ¿Está vigente, identificado en el SGD, aprobado por la autoridad competente y en aplicación para el requisito OEA 3.9?</t>
  </si>
  <si>
    <t>¿Verifique el documento GEX-GU05 (Guía faltantes sobrantes y/o discrepancia de la mercancía.). ¿Está vigente, identificado en el SGD, aprobado por la autoridad competente y en aplicación para el requisito OEA 3.9?</t>
  </si>
  <si>
    <t>¿El requisito OEA 3.9 exige: "Tener procedimientos documentados para reconocer y reportar a las autoridades competentes, cuando los sellos, contenedores y/o demás unidades de carga han sido vulnerados." ¿Qué controles operativos y registros demuestran su cumplimiento sostenido en Colombian Mint?</t>
  </si>
  <si>
    <t>¿El personal entrevistado conoce los requisitos de OEA 3.9 y su responsabilidad en el cumplimiento? Solicite evidencia de socialización, inducción o capacitación?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</si>
</sst>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sz val="11"/>
      <color theme="1"/>
      <name val="Arial"/>
      <family val="2"/>
    </font>
    <font>
      <b/>
      <sz val="11"/>
      <color theme="1"/>
      <name val="Arial"/>
      <family val="2"/>
    </font>
    <font>
      <sz val="10"/>
      <color theme="1"/>
      <name val="Arial"/>
      <family val="2"/>
    </font>
    <font>
      <b/>
      <sz val="10"/>
      <color theme="1"/>
      <name val="Arial"/>
      <family val="2"/>
    </font>
    <font>
      <sz val="11"/>
      <name val="Arial"/>
      <family val="2"/>
    </font>
    <font>
      <b/>
      <sz val="11"/>
      <name val="Arial"/>
      <family val="2"/>
    </font>
    <font>
      <b/>
      <sz val="12"/>
      <color theme="1"/>
      <name val="Arial"/>
      <family val="2"/>
    </font>
    <font>
      <b/>
      <sz val="14"/>
      <color theme="1"/>
      <name val="Arial"/>
      <family val="2"/>
    </font>
    <font>
      <sz val="10"/>
      <color rgb="FF000000"/>
      <name val="Arial"/>
      <family val="2"/>
    </font>
    <font>
      <sz val="10"/>
      <name val="Arial"/>
      <family val="2"/>
    </font>
    <font>
      <b/>
      <sz val="10"/>
      <color rgb="FF000000"/>
      <name val="Arial"/>
    </font>
    <font>
      <sz val="10"/>
      <color rgb="FF000000"/>
      <name val="Arial"/>
    </font>
    <font>
      <b/>
      <sz val="9"/>
      <color rgb="FF000000"/>
      <name val="Arial"/>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rgb="FF000000"/>
      </patternFill>
    </fill>
    <fill>
      <patternFill patternType="solid">
        <fgColor rgb="FF9BBB59"/>
        <bgColor rgb="FF000000"/>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52">
    <xf numFmtId="0" fontId="0" fillId="0" borderId="0" xfId="0"/>
    <xf numFmtId="0" fontId="1" fillId="0" borderId="0" xfId="0" applyFont="1"/>
    <xf numFmtId="0" fontId="1" fillId="0" borderId="0" xfId="0" applyFont="1" applyAlignment="1">
      <alignment horizontal="justify" vertical="center"/>
    </xf>
    <xf numFmtId="0" fontId="3" fillId="0" borderId="1" xfId="0" applyFont="1" applyBorder="1"/>
    <xf numFmtId="0" fontId="4" fillId="0" borderId="1" xfId="0" applyFont="1" applyBorder="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center"/>
    </xf>
    <xf numFmtId="0" fontId="6" fillId="0" borderId="1" xfId="0" applyFont="1" applyBorder="1" applyAlignment="1">
      <alignment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xf>
    <xf numFmtId="0" fontId="0" fillId="0" borderId="6" xfId="0" applyBorder="1"/>
    <xf numFmtId="0" fontId="0" fillId="0" borderId="5" xfId="0" applyBorder="1"/>
    <xf numFmtId="0" fontId="10" fillId="0" borderId="1" xfId="0" applyFont="1" applyBorder="1" applyAlignment="1">
      <alignment horizontal="left" vertical="top" wrapText="1"/>
    </xf>
    <xf numFmtId="0" fontId="10" fillId="0" borderId="1" xfId="0" applyFont="1" applyBorder="1" applyAlignment="1">
      <alignment horizontal="justify"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3" xfId="0" applyBorder="1"/>
    <xf numFmtId="0" fontId="0" fillId="0" borderId="4" xfId="0" applyBorder="1"/>
    <xf numFmtId="0" fontId="0" fillId="0" borderId="9" xfId="0" applyBorder="1"/>
    <xf numFmtId="0" fontId="0" fillId="0" borderId="10" xfId="0" applyBorder="1"/>
    <xf numFmtId="0" fontId="0" fillId="0" borderId="11" xfId="0" applyBorder="1"/>
    <xf numFmtId="0" fontId="4" fillId="3"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1" fillId="0" borderId="1" xfId="0" applyFont="1" applyBorder="1" applyAlignment="1">
      <alignment horizontal="center"/>
    </xf>
    <xf numFmtId="164"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wrapText="1"/>
    </xf>
    <xf numFmtId="0" fontId="5" fillId="0" borderId="1" xfId="0" applyFont="1" applyBorder="1" applyAlignment="1">
      <alignment horizontal="center" vertical="top" wrapText="1"/>
    </xf>
    <xf numFmtId="0" fontId="11" fillId="0" borderId="1" xfId="0" applyFont="1" applyBorder="1" applyAlignment="1">
      <alignment horizontal="justify" vertical="center"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center" vertical="center"/>
    </xf>
    <xf numFmtId="0" fontId="0" fillId="0" borderId="7" xfId="0" applyBorder="1"/>
    <xf numFmtId="0" fontId="1" fillId="0" borderId="0" xfId="0" applyFont="1"/>
    <xf numFmtId="0" fontId="0" fillId="0" borderId="8" xfId="0" applyBorder="1"/>
    <xf numFmtId="0" fontId="12" fillId="0" borderId="1" xfId="0" applyFont="1" applyBorder="1" applyAlignment="1">
      <alignment vertical="center" wrapText="1"/>
    </xf>
    <xf numFmtId="0" fontId="3" fillId="0" borderId="1" xfId="0" applyFont="1" applyBorder="1" applyAlignment="1">
      <alignment horizontal="center"/>
    </xf>
    <xf numFmtId="0" fontId="9"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 fillId="0" borderId="1" xfId="0" applyFont="1" applyBorder="1" applyAlignment="1">
      <alignment horizontal="center" vertical="center"/>
    </xf>
    <xf numFmtId="0" fontId="13" fillId="5" borderId="12" xfId="0" applyFont="1" applyFill="1" applyBorder="1" applyAlignment="1">
      <alignment horizontal="center" vertical="center" wrapText="1"/>
    </xf>
    <xf numFmtId="0" fontId="13" fillId="6" borderId="12" xfId="0" applyFont="1" applyFill="1" applyBorder="1" applyAlignment="1">
      <alignment horizontal="center" vertical="center" wrapText="1"/>
    </xf>
    <xf numFmtId="0" fontId="0" fillId="0" borderId="0" xfId="0" applyAlignment="1">
      <alignment vertical="center" wrapText="1"/>
    </xf>
    <xf numFmtId="0" fontId="0" fillId="0" borderId="2" xfId="0" applyBorder="1" applyAlignment="1">
      <alignment vertical="center" wrapText="1"/>
    </xf>
  </cellXfs>
  <cellStyles count="1">
    <cellStyle name="Normal" xfId="0" builtinId="0"/>
  </cellStyles>
  <dxfs count="9">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dxf>
    <dxf>
      <font>
        <b/>
        <i val="0"/>
        <strike val="0"/>
        <condense val="0"/>
        <extend val="0"/>
        <outline val="0"/>
        <shadow val="0"/>
        <u val="none"/>
        <vertAlign val="baseline"/>
        <sz val="9"/>
        <color rgb="FF000000"/>
        <name val="Arial"/>
        <scheme val="none"/>
      </font>
      <fill>
        <patternFill patternType="solid">
          <fgColor rgb="FF000000"/>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345321</xdr:colOff>
      <xdr:row>0</xdr:row>
      <xdr:rowOff>34018</xdr:rowOff>
    </xdr:from>
    <xdr:to>
      <xdr:col>1</xdr:col>
      <xdr:colOff>759514</xdr:colOff>
      <xdr:row>3</xdr:row>
      <xdr:rowOff>238125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45321" y="34018"/>
          <a:ext cx="928543" cy="937532"/>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2F107E-9D7F-474D-9EBA-8E107460D922}" name="Tabla1" displayName="Tabla1" ref="A1:E111" totalsRowShown="0" headerRowDxfId="6" dataDxfId="5" headerRowBorderDxfId="7" tableBorderDxfId="8">
  <autoFilter ref="A1:E111" xr:uid="{F72F107E-9D7F-474D-9EBA-8E107460D922}"/>
  <tableColumns count="5">
    <tableColumn id="1" xr3:uid="{CEDBE385-236A-48FD-91AF-479360A4EC40}" name="Requisito" dataDxfId="4"/>
    <tableColumn id="2" xr3:uid="{416D1210-6E2E-48DE-9DF5-19EC62934D5E}" name="Proceso" dataDxfId="3"/>
    <tableColumn id="3" xr3:uid="{C33B3D79-4542-45A4-A197-134B3D8B3FDD}" name="Responsable" dataDxfId="2">
      <calculatedColumnFormula>+LISTADO!$H$7</calculatedColumnFormula>
    </tableColumn>
    <tableColumn id="4" xr3:uid="{37965C17-F6EE-4208-9629-D3420F510E52}" name="Descripción del requisito" dataDxfId="1"/>
    <tableColumn id="5" xr3:uid="{2EF676E4-3860-40B9-AFCF-EC9D488CEFFF}" name="Preguntas Sugeridas Auditoría Interna"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showGridLines="0" topLeftCell="A31" zoomScaleNormal="100" workbookViewId="0">
      <selection activeCell="H7" sqref="H7:L7"/>
    </sheetView>
  </sheetViews>
  <sheetFormatPr baseColWidth="10" defaultColWidth="11.42578125" defaultRowHeight="14.25" x14ac:dyDescent="0.2"/>
  <cols>
    <col min="1" max="1" width="7.7109375" style="1" customWidth="1"/>
    <col min="2" max="2" width="17.140625" style="1" customWidth="1"/>
    <col min="3" max="3" width="16.5703125" style="1" customWidth="1"/>
    <col min="4" max="4" width="10.5703125" style="1" customWidth="1"/>
    <col min="5" max="5" width="3.28515625" style="1" customWidth="1"/>
    <col min="6" max="6" width="11" style="1" customWidth="1"/>
    <col min="7" max="7" width="16.42578125" style="1" customWidth="1"/>
    <col min="8" max="8" width="17.7109375" style="1" customWidth="1"/>
    <col min="9" max="9" width="8.85546875" style="1" customWidth="1"/>
    <col min="10" max="10" width="13.7109375" style="1" customWidth="1"/>
    <col min="11" max="12" width="7.42578125" style="1" customWidth="1"/>
    <col min="13" max="13" width="11.42578125" style="1" customWidth="1"/>
    <col min="14" max="16384" width="11.42578125" style="1"/>
  </cols>
  <sheetData>
    <row r="1" spans="1:12" ht="29.25" customHeight="1" x14ac:dyDescent="0.25">
      <c r="A1" s="44"/>
      <c r="B1" s="23"/>
      <c r="C1" s="37" t="s">
        <v>0</v>
      </c>
      <c r="D1" s="16"/>
      <c r="E1" s="16"/>
      <c r="F1" s="16"/>
      <c r="G1" s="16"/>
      <c r="H1" s="16"/>
      <c r="I1" s="16"/>
      <c r="J1" s="17"/>
      <c r="K1" s="31" t="s">
        <v>1</v>
      </c>
      <c r="L1" s="17"/>
    </row>
    <row r="2" spans="1:12" ht="15" x14ac:dyDescent="0.25">
      <c r="A2" s="40"/>
      <c r="B2" s="42"/>
      <c r="C2" s="39" t="s">
        <v>2</v>
      </c>
      <c r="D2" s="22"/>
      <c r="E2" s="22"/>
      <c r="F2" s="22"/>
      <c r="G2" s="22"/>
      <c r="H2" s="22"/>
      <c r="I2" s="22"/>
      <c r="J2" s="23"/>
      <c r="K2" s="32" t="s">
        <v>3</v>
      </c>
      <c r="L2" s="17"/>
    </row>
    <row r="3" spans="1:12" ht="14.25" customHeight="1" x14ac:dyDescent="0.2">
      <c r="A3" s="40"/>
      <c r="B3" s="42"/>
      <c r="C3" s="40"/>
      <c r="D3" s="41"/>
      <c r="E3" s="41"/>
      <c r="F3" s="41"/>
      <c r="G3" s="41"/>
      <c r="H3" s="41"/>
      <c r="I3" s="41"/>
      <c r="J3" s="42"/>
      <c r="K3" s="31" t="s">
        <v>4</v>
      </c>
      <c r="L3" s="23"/>
    </row>
    <row r="4" spans="1:12" ht="24.75" customHeight="1" x14ac:dyDescent="0.2">
      <c r="A4" s="24"/>
      <c r="B4" s="26"/>
      <c r="C4" s="24"/>
      <c r="D4" s="25"/>
      <c r="E4" s="25"/>
      <c r="F4" s="25"/>
      <c r="G4" s="25"/>
      <c r="H4" s="25"/>
      <c r="I4" s="25"/>
      <c r="J4" s="26"/>
      <c r="K4" s="24"/>
      <c r="L4" s="26"/>
    </row>
    <row r="5" spans="1:12" ht="15" customHeight="1" x14ac:dyDescent="0.25">
      <c r="A5" s="28" t="s">
        <v>5</v>
      </c>
      <c r="B5" s="16"/>
      <c r="C5" s="16"/>
      <c r="D5" s="16"/>
      <c r="E5" s="16"/>
      <c r="F5" s="16"/>
      <c r="G5" s="16"/>
      <c r="H5" s="16"/>
      <c r="I5" s="16"/>
      <c r="J5" s="16"/>
      <c r="K5" s="16"/>
      <c r="L5" s="17"/>
    </row>
    <row r="6" spans="1:12" ht="23.25" customHeight="1" x14ac:dyDescent="0.25">
      <c r="A6" s="27" t="s">
        <v>6</v>
      </c>
      <c r="B6" s="17"/>
      <c r="C6" s="30" t="s">
        <v>7</v>
      </c>
      <c r="D6" s="16"/>
      <c r="E6" s="16"/>
      <c r="F6" s="17"/>
      <c r="G6" s="13" t="s">
        <v>8</v>
      </c>
      <c r="H6" s="38" t="s">
        <v>9</v>
      </c>
      <c r="I6" s="16"/>
      <c r="J6" s="16"/>
      <c r="K6" s="16"/>
      <c r="L6" s="17"/>
    </row>
    <row r="7" spans="1:12" ht="23.25" customHeight="1" x14ac:dyDescent="0.25">
      <c r="A7" s="27" t="s">
        <v>10</v>
      </c>
      <c r="B7" s="17"/>
      <c r="C7" s="38" t="s">
        <v>11</v>
      </c>
      <c r="D7" s="16"/>
      <c r="E7" s="16"/>
      <c r="F7" s="17"/>
      <c r="G7" s="13" t="s">
        <v>12</v>
      </c>
      <c r="H7" s="38" t="s">
        <v>13</v>
      </c>
      <c r="I7" s="16"/>
      <c r="J7" s="16"/>
      <c r="K7" s="16"/>
      <c r="L7" s="17"/>
    </row>
    <row r="8" spans="1:12" ht="23.25" customHeight="1" x14ac:dyDescent="0.25">
      <c r="A8" s="27" t="s">
        <v>14</v>
      </c>
      <c r="B8" s="17"/>
      <c r="C8" s="38" t="s">
        <v>15</v>
      </c>
      <c r="D8" s="16"/>
      <c r="E8" s="16"/>
      <c r="F8" s="17"/>
      <c r="G8" s="13" t="s">
        <v>16</v>
      </c>
      <c r="H8" s="45" t="s">
        <v>17</v>
      </c>
      <c r="I8" s="16"/>
      <c r="J8" s="16"/>
      <c r="K8" s="16"/>
      <c r="L8" s="17"/>
    </row>
    <row r="9" spans="1:12" ht="23.25" customHeight="1" x14ac:dyDescent="0.25">
      <c r="A9" s="27" t="s">
        <v>18</v>
      </c>
      <c r="B9" s="17"/>
      <c r="C9" s="38" t="s">
        <v>19</v>
      </c>
      <c r="D9" s="16"/>
      <c r="E9" s="16"/>
      <c r="F9" s="17"/>
      <c r="G9" s="13" t="s">
        <v>20</v>
      </c>
      <c r="H9" s="38" t="s">
        <v>21</v>
      </c>
      <c r="I9" s="16"/>
      <c r="J9" s="16"/>
      <c r="K9" s="16"/>
      <c r="L9" s="17"/>
    </row>
    <row r="10" spans="1:12" ht="15" customHeight="1" x14ac:dyDescent="0.25">
      <c r="A10" s="28" t="s">
        <v>22</v>
      </c>
      <c r="B10" s="16"/>
      <c r="C10" s="16"/>
      <c r="D10" s="16"/>
      <c r="E10" s="16"/>
      <c r="F10" s="16"/>
      <c r="G10" s="16"/>
      <c r="H10" s="16"/>
      <c r="I10" s="16"/>
      <c r="J10" s="16"/>
      <c r="K10" s="16"/>
      <c r="L10" s="17"/>
    </row>
    <row r="11" spans="1:12" ht="15" customHeight="1" x14ac:dyDescent="0.25">
      <c r="A11" s="21" t="s">
        <v>23</v>
      </c>
      <c r="B11" s="22"/>
      <c r="C11" s="22"/>
      <c r="D11" s="22"/>
      <c r="E11" s="22"/>
      <c r="F11" s="23"/>
      <c r="G11" s="21" t="s">
        <v>24</v>
      </c>
      <c r="H11" s="22"/>
      <c r="I11" s="22"/>
      <c r="J11" s="23"/>
      <c r="K11" s="21" t="s">
        <v>25</v>
      </c>
      <c r="L11" s="17"/>
    </row>
    <row r="12" spans="1:12" ht="15" customHeight="1" x14ac:dyDescent="0.2">
      <c r="A12" s="24"/>
      <c r="B12" s="25"/>
      <c r="C12" s="25"/>
      <c r="D12" s="25"/>
      <c r="E12" s="25"/>
      <c r="F12" s="26"/>
      <c r="G12" s="24"/>
      <c r="H12" s="25"/>
      <c r="I12" s="25"/>
      <c r="J12" s="26"/>
      <c r="K12" s="12" t="s">
        <v>26</v>
      </c>
      <c r="L12" s="12" t="s">
        <v>27</v>
      </c>
    </row>
    <row r="13" spans="1:12" s="2" customFormat="1" ht="15" customHeight="1" x14ac:dyDescent="0.25">
      <c r="A13" s="14">
        <v>1</v>
      </c>
      <c r="B13" s="43"/>
      <c r="C13" s="16"/>
      <c r="D13" s="16"/>
      <c r="E13" s="16"/>
      <c r="F13" s="17"/>
      <c r="G13" s="33"/>
      <c r="H13" s="16"/>
      <c r="I13" s="16"/>
      <c r="J13" s="17"/>
      <c r="K13" s="4"/>
      <c r="L13" s="5"/>
    </row>
    <row r="14" spans="1:12" ht="15" customHeight="1" x14ac:dyDescent="0.25">
      <c r="A14" s="14">
        <v>2</v>
      </c>
      <c r="B14" s="46"/>
      <c r="C14" s="16"/>
      <c r="D14" s="16"/>
      <c r="E14" s="16"/>
      <c r="F14" s="17"/>
      <c r="G14" s="33"/>
      <c r="H14" s="16"/>
      <c r="I14" s="16"/>
      <c r="J14" s="17"/>
      <c r="K14" s="4"/>
      <c r="L14" s="6"/>
    </row>
    <row r="15" spans="1:12" ht="15" customHeight="1" x14ac:dyDescent="0.25">
      <c r="A15" s="14">
        <v>3</v>
      </c>
      <c r="B15" s="35"/>
      <c r="C15" s="16"/>
      <c r="D15" s="16"/>
      <c r="E15" s="16"/>
      <c r="F15" s="17"/>
      <c r="G15" s="33"/>
      <c r="H15" s="16"/>
      <c r="I15" s="16"/>
      <c r="J15" s="17"/>
      <c r="K15" s="4"/>
      <c r="L15" s="6"/>
    </row>
    <row r="16" spans="1:12" ht="15" x14ac:dyDescent="0.25">
      <c r="A16" s="14">
        <v>4</v>
      </c>
      <c r="B16" s="15"/>
      <c r="C16" s="16"/>
      <c r="D16" s="16"/>
      <c r="E16" s="16"/>
      <c r="F16" s="17"/>
      <c r="G16" s="33"/>
      <c r="H16" s="16"/>
      <c r="I16" s="16"/>
      <c r="J16" s="17"/>
      <c r="K16" s="4"/>
      <c r="L16" s="3"/>
    </row>
    <row r="17" spans="1:12" ht="15" x14ac:dyDescent="0.25">
      <c r="A17" s="14">
        <v>5</v>
      </c>
      <c r="B17" s="15"/>
      <c r="C17" s="16"/>
      <c r="D17" s="16"/>
      <c r="E17" s="16"/>
      <c r="F17" s="17"/>
      <c r="G17" s="33"/>
      <c r="H17" s="16"/>
      <c r="I17" s="16"/>
      <c r="J17" s="17"/>
      <c r="K17" s="4"/>
      <c r="L17" s="3"/>
    </row>
    <row r="18" spans="1:12" ht="15" x14ac:dyDescent="0.25">
      <c r="A18" s="14">
        <v>6</v>
      </c>
      <c r="B18" s="15"/>
      <c r="C18" s="16"/>
      <c r="D18" s="16"/>
      <c r="E18" s="16"/>
      <c r="F18" s="17"/>
      <c r="G18" s="33"/>
      <c r="H18" s="16"/>
      <c r="I18" s="16"/>
      <c r="J18" s="17"/>
      <c r="K18" s="4"/>
      <c r="L18" s="3"/>
    </row>
    <row r="19" spans="1:12" ht="15" x14ac:dyDescent="0.25">
      <c r="A19" s="14">
        <v>7</v>
      </c>
      <c r="B19" s="15"/>
      <c r="C19" s="16"/>
      <c r="D19" s="16"/>
      <c r="E19" s="16"/>
      <c r="F19" s="17"/>
      <c r="G19" s="33"/>
      <c r="H19" s="16"/>
      <c r="I19" s="16"/>
      <c r="J19" s="17"/>
      <c r="K19" s="4"/>
      <c r="L19" s="3"/>
    </row>
    <row r="20" spans="1:12" ht="15" x14ac:dyDescent="0.25">
      <c r="A20" s="14">
        <v>8</v>
      </c>
      <c r="B20" s="15"/>
      <c r="C20" s="16"/>
      <c r="D20" s="16"/>
      <c r="E20" s="16"/>
      <c r="F20" s="17"/>
      <c r="G20" s="33"/>
      <c r="H20" s="16"/>
      <c r="I20" s="16"/>
      <c r="J20" s="17"/>
      <c r="K20" s="4"/>
      <c r="L20" s="3"/>
    </row>
    <row r="21" spans="1:12" ht="15" x14ac:dyDescent="0.25">
      <c r="A21" s="14">
        <v>9</v>
      </c>
      <c r="B21" s="15"/>
      <c r="C21" s="16"/>
      <c r="D21" s="16"/>
      <c r="E21" s="16"/>
      <c r="F21" s="17"/>
      <c r="G21" s="33"/>
      <c r="H21" s="16"/>
      <c r="I21" s="16"/>
      <c r="J21" s="17"/>
      <c r="K21" s="4"/>
      <c r="L21" s="3"/>
    </row>
    <row r="22" spans="1:12" ht="15" x14ac:dyDescent="0.25">
      <c r="A22" s="14">
        <v>10</v>
      </c>
      <c r="B22" s="15"/>
      <c r="C22" s="16"/>
      <c r="D22" s="16"/>
      <c r="E22" s="16"/>
      <c r="F22" s="17"/>
      <c r="G22" s="33"/>
      <c r="H22" s="16"/>
      <c r="I22" s="16"/>
      <c r="J22" s="17"/>
      <c r="K22" s="4"/>
      <c r="L22" s="3"/>
    </row>
    <row r="23" spans="1:12" ht="15" x14ac:dyDescent="0.25">
      <c r="A23" s="29"/>
      <c r="B23" s="16"/>
      <c r="C23" s="16"/>
      <c r="D23" s="16"/>
      <c r="E23" s="16"/>
      <c r="F23" s="16"/>
      <c r="G23" s="16"/>
      <c r="H23" s="16"/>
      <c r="I23" s="16"/>
      <c r="J23" s="16"/>
      <c r="K23" s="16"/>
      <c r="L23" s="17"/>
    </row>
    <row r="24" spans="1:12" ht="15" customHeight="1" x14ac:dyDescent="0.25">
      <c r="A24" s="28" t="s">
        <v>28</v>
      </c>
      <c r="B24" s="16"/>
      <c r="C24" s="16"/>
      <c r="D24" s="16"/>
      <c r="E24" s="16"/>
      <c r="F24" s="16"/>
      <c r="G24" s="16"/>
      <c r="H24" s="16"/>
      <c r="I24" s="16"/>
      <c r="J24" s="16"/>
      <c r="K24" s="16"/>
      <c r="L24" s="17"/>
    </row>
    <row r="25" spans="1:12" ht="15" customHeight="1" x14ac:dyDescent="0.25">
      <c r="A25" s="20"/>
      <c r="B25" s="16"/>
      <c r="C25" s="16"/>
      <c r="D25" s="16"/>
      <c r="E25" s="16"/>
      <c r="F25" s="16"/>
      <c r="G25" s="16"/>
      <c r="H25" s="16"/>
      <c r="I25" s="16"/>
      <c r="J25" s="16"/>
      <c r="K25" s="16"/>
      <c r="L25" s="17"/>
    </row>
    <row r="26" spans="1:12" ht="15" customHeight="1" x14ac:dyDescent="0.25">
      <c r="A26" s="20"/>
      <c r="B26" s="16"/>
      <c r="C26" s="16"/>
      <c r="D26" s="16"/>
      <c r="E26" s="16"/>
      <c r="F26" s="16"/>
      <c r="G26" s="16"/>
      <c r="H26" s="16"/>
      <c r="I26" s="16"/>
      <c r="J26" s="16"/>
      <c r="K26" s="16"/>
      <c r="L26" s="17"/>
    </row>
    <row r="27" spans="1:12" ht="15" customHeight="1" x14ac:dyDescent="0.25">
      <c r="A27" s="20"/>
      <c r="B27" s="16"/>
      <c r="C27" s="16"/>
      <c r="D27" s="16"/>
      <c r="E27" s="16"/>
      <c r="F27" s="16"/>
      <c r="G27" s="16"/>
      <c r="H27" s="16"/>
      <c r="I27" s="16"/>
      <c r="J27" s="16"/>
      <c r="K27" s="16"/>
      <c r="L27" s="17"/>
    </row>
    <row r="28" spans="1:12" ht="15" customHeight="1" x14ac:dyDescent="0.25">
      <c r="A28" s="28" t="s">
        <v>29</v>
      </c>
      <c r="B28" s="16"/>
      <c r="C28" s="16"/>
      <c r="D28" s="16"/>
      <c r="E28" s="16"/>
      <c r="F28" s="16"/>
      <c r="G28" s="16"/>
      <c r="H28" s="16"/>
      <c r="I28" s="16"/>
      <c r="J28" s="16"/>
      <c r="K28" s="16"/>
      <c r="L28" s="17"/>
    </row>
    <row r="29" spans="1:12" ht="15" x14ac:dyDescent="0.25">
      <c r="A29" s="10">
        <v>1</v>
      </c>
      <c r="B29" s="19"/>
      <c r="C29" s="16"/>
      <c r="D29" s="16"/>
      <c r="E29" s="16"/>
      <c r="F29" s="16"/>
      <c r="G29" s="16"/>
      <c r="H29" s="16"/>
      <c r="I29" s="16"/>
      <c r="J29" s="16"/>
      <c r="K29" s="16"/>
      <c r="L29" s="17"/>
    </row>
    <row r="30" spans="1:12" ht="15" x14ac:dyDescent="0.25">
      <c r="A30" s="10">
        <v>2</v>
      </c>
      <c r="B30" s="19"/>
      <c r="C30" s="16"/>
      <c r="D30" s="16"/>
      <c r="E30" s="16"/>
      <c r="F30" s="16"/>
      <c r="G30" s="16"/>
      <c r="H30" s="16"/>
      <c r="I30" s="16"/>
      <c r="J30" s="16"/>
      <c r="K30" s="16"/>
      <c r="L30" s="17"/>
    </row>
    <row r="31" spans="1:12" ht="15" x14ac:dyDescent="0.25">
      <c r="A31" s="10">
        <v>3</v>
      </c>
      <c r="B31" s="19"/>
      <c r="C31" s="16"/>
      <c r="D31" s="16"/>
      <c r="E31" s="16"/>
      <c r="F31" s="16"/>
      <c r="G31" s="16"/>
      <c r="H31" s="16"/>
      <c r="I31" s="16"/>
      <c r="J31" s="16"/>
      <c r="K31" s="16"/>
      <c r="L31" s="17"/>
    </row>
    <row r="32" spans="1:12" ht="15" x14ac:dyDescent="0.25">
      <c r="A32" s="10">
        <v>4</v>
      </c>
      <c r="B32" s="19"/>
      <c r="C32" s="16"/>
      <c r="D32" s="16"/>
      <c r="E32" s="16"/>
      <c r="F32" s="16"/>
      <c r="G32" s="16"/>
      <c r="H32" s="16"/>
      <c r="I32" s="16"/>
      <c r="J32" s="16"/>
      <c r="K32" s="16"/>
      <c r="L32" s="17"/>
    </row>
    <row r="33" spans="1:12" ht="15" x14ac:dyDescent="0.25">
      <c r="A33" s="10">
        <v>5</v>
      </c>
      <c r="B33" s="19"/>
      <c r="C33" s="16"/>
      <c r="D33" s="16"/>
      <c r="E33" s="16"/>
      <c r="F33" s="16"/>
      <c r="G33" s="16"/>
      <c r="H33" s="16"/>
      <c r="I33" s="16"/>
      <c r="J33" s="16"/>
      <c r="K33" s="16"/>
      <c r="L33" s="17"/>
    </row>
    <row r="34" spans="1:12" ht="15" customHeight="1" x14ac:dyDescent="0.25">
      <c r="A34" s="28" t="s">
        <v>30</v>
      </c>
      <c r="B34" s="16"/>
      <c r="C34" s="16"/>
      <c r="D34" s="16"/>
      <c r="E34" s="16"/>
      <c r="F34" s="16"/>
      <c r="G34" s="16"/>
      <c r="H34" s="16"/>
      <c r="I34" s="16"/>
      <c r="J34" s="16"/>
      <c r="K34" s="16"/>
      <c r="L34" s="17"/>
    </row>
    <row r="35" spans="1:12" ht="15" x14ac:dyDescent="0.25">
      <c r="A35" s="10">
        <v>1</v>
      </c>
      <c r="B35" s="19"/>
      <c r="C35" s="16"/>
      <c r="D35" s="16"/>
      <c r="E35" s="16"/>
      <c r="F35" s="16"/>
      <c r="G35" s="16"/>
      <c r="H35" s="16"/>
      <c r="I35" s="16"/>
      <c r="J35" s="16"/>
      <c r="K35" s="16"/>
      <c r="L35" s="17"/>
    </row>
    <row r="36" spans="1:12" ht="15" x14ac:dyDescent="0.25">
      <c r="A36" s="10">
        <v>2</v>
      </c>
      <c r="B36" s="19"/>
      <c r="C36" s="16"/>
      <c r="D36" s="16"/>
      <c r="E36" s="16"/>
      <c r="F36" s="16"/>
      <c r="G36" s="16"/>
      <c r="H36" s="16"/>
      <c r="I36" s="16"/>
      <c r="J36" s="16"/>
      <c r="K36" s="16"/>
      <c r="L36" s="17"/>
    </row>
    <row r="37" spans="1:12" ht="15" x14ac:dyDescent="0.25">
      <c r="A37" s="10">
        <v>3</v>
      </c>
      <c r="B37" s="19"/>
      <c r="C37" s="16"/>
      <c r="D37" s="16"/>
      <c r="E37" s="16"/>
      <c r="F37" s="16"/>
      <c r="G37" s="16"/>
      <c r="H37" s="16"/>
      <c r="I37" s="16"/>
      <c r="J37" s="16"/>
      <c r="K37" s="16"/>
      <c r="L37" s="17"/>
    </row>
    <row r="38" spans="1:12" ht="15" x14ac:dyDescent="0.25">
      <c r="A38" s="10">
        <v>4</v>
      </c>
      <c r="B38" s="19"/>
      <c r="C38" s="16"/>
      <c r="D38" s="16"/>
      <c r="E38" s="16"/>
      <c r="F38" s="16"/>
      <c r="G38" s="16"/>
      <c r="H38" s="16"/>
      <c r="I38" s="16"/>
      <c r="J38" s="16"/>
      <c r="K38" s="16"/>
      <c r="L38" s="17"/>
    </row>
    <row r="39" spans="1:12" ht="15" x14ac:dyDescent="0.25">
      <c r="A39" s="10">
        <v>5</v>
      </c>
      <c r="B39" s="19"/>
      <c r="C39" s="16"/>
      <c r="D39" s="16"/>
      <c r="E39" s="16"/>
      <c r="F39" s="16"/>
      <c r="G39" s="16"/>
      <c r="H39" s="16"/>
      <c r="I39" s="16"/>
      <c r="J39" s="16"/>
      <c r="K39" s="16"/>
      <c r="L39" s="17"/>
    </row>
    <row r="40" spans="1:12" ht="15" x14ac:dyDescent="0.25">
      <c r="A40" s="29"/>
      <c r="B40" s="16"/>
      <c r="C40" s="16"/>
      <c r="D40" s="16"/>
      <c r="E40" s="16"/>
      <c r="F40" s="16"/>
      <c r="G40" s="16"/>
      <c r="H40" s="16"/>
      <c r="I40" s="16"/>
      <c r="J40" s="16"/>
      <c r="K40" s="16"/>
      <c r="L40" s="17"/>
    </row>
    <row r="41" spans="1:12" ht="15" customHeight="1" x14ac:dyDescent="0.25">
      <c r="A41" s="28" t="s">
        <v>31</v>
      </c>
      <c r="B41" s="17"/>
      <c r="C41" s="28" t="s">
        <v>32</v>
      </c>
      <c r="D41" s="16"/>
      <c r="E41" s="16"/>
      <c r="F41" s="16"/>
      <c r="G41" s="17"/>
      <c r="H41" s="28" t="s">
        <v>33</v>
      </c>
      <c r="I41" s="16"/>
      <c r="J41" s="17"/>
      <c r="K41" s="28" t="s">
        <v>34</v>
      </c>
      <c r="L41" s="17"/>
    </row>
    <row r="42" spans="1:12" ht="15" customHeight="1" x14ac:dyDescent="0.25">
      <c r="A42" s="10">
        <v>1</v>
      </c>
      <c r="B42" s="7"/>
      <c r="C42" s="18"/>
      <c r="D42" s="16"/>
      <c r="E42" s="16"/>
      <c r="F42" s="16"/>
      <c r="G42" s="17"/>
      <c r="H42" s="34"/>
      <c r="I42" s="16"/>
      <c r="J42" s="17"/>
      <c r="K42" s="29"/>
      <c r="L42" s="17"/>
    </row>
    <row r="43" spans="1:12" ht="15" customHeight="1" x14ac:dyDescent="0.25">
      <c r="A43" s="10">
        <v>2</v>
      </c>
      <c r="B43" s="7"/>
      <c r="C43" s="18"/>
      <c r="D43" s="16"/>
      <c r="E43" s="16"/>
      <c r="F43" s="16"/>
      <c r="G43" s="17"/>
      <c r="H43" s="34"/>
      <c r="I43" s="16"/>
      <c r="J43" s="17"/>
      <c r="K43" s="29"/>
      <c r="L43" s="17"/>
    </row>
    <row r="44" spans="1:12" ht="15" customHeight="1" x14ac:dyDescent="0.25">
      <c r="A44" s="10">
        <v>3</v>
      </c>
      <c r="B44" s="7"/>
      <c r="C44" s="18"/>
      <c r="D44" s="16"/>
      <c r="E44" s="16"/>
      <c r="F44" s="16"/>
      <c r="G44" s="17"/>
      <c r="H44" s="34"/>
      <c r="I44" s="16"/>
      <c r="J44" s="17"/>
      <c r="K44" s="29"/>
      <c r="L44" s="17"/>
    </row>
    <row r="45" spans="1:12" ht="15" customHeight="1" x14ac:dyDescent="0.25">
      <c r="A45" s="10">
        <v>4</v>
      </c>
      <c r="B45" s="7"/>
      <c r="C45" s="18"/>
      <c r="D45" s="16"/>
      <c r="E45" s="16"/>
      <c r="F45" s="16"/>
      <c r="G45" s="17"/>
      <c r="H45" s="34"/>
      <c r="I45" s="16"/>
      <c r="J45" s="17"/>
      <c r="K45" s="29"/>
      <c r="L45" s="17"/>
    </row>
    <row r="46" spans="1:12" ht="15" customHeight="1" x14ac:dyDescent="0.25">
      <c r="A46" s="10">
        <v>5</v>
      </c>
      <c r="B46" s="7"/>
      <c r="C46" s="18"/>
      <c r="D46" s="16"/>
      <c r="E46" s="16"/>
      <c r="F46" s="16"/>
      <c r="G46" s="17"/>
      <c r="H46" s="34"/>
      <c r="I46" s="16"/>
      <c r="J46" s="17"/>
      <c r="K46" s="29"/>
      <c r="L46" s="17"/>
    </row>
    <row r="47" spans="1:12" ht="15" customHeight="1" x14ac:dyDescent="0.25">
      <c r="A47" s="7"/>
      <c r="B47" s="7"/>
      <c r="C47" s="18"/>
      <c r="D47" s="16"/>
      <c r="E47" s="16"/>
      <c r="F47" s="16"/>
      <c r="G47" s="17"/>
      <c r="H47" s="34"/>
      <c r="I47" s="16"/>
      <c r="J47" s="17"/>
      <c r="K47" s="29"/>
      <c r="L47" s="17"/>
    </row>
    <row r="48" spans="1:12" ht="38.25" customHeight="1" x14ac:dyDescent="0.25">
      <c r="A48" s="11" t="s">
        <v>35</v>
      </c>
      <c r="B48" s="10">
        <f>COUNTA(B29)</f>
        <v>0</v>
      </c>
      <c r="C48" s="8" t="s">
        <v>36</v>
      </c>
      <c r="D48" s="10">
        <f>COUNTA(B35:L39)</f>
        <v>0</v>
      </c>
      <c r="E48" s="36" t="s">
        <v>37</v>
      </c>
      <c r="F48" s="17"/>
      <c r="G48" s="10">
        <f>COUNTA(C42:G46)</f>
        <v>0</v>
      </c>
      <c r="H48" s="9" t="s">
        <v>38</v>
      </c>
      <c r="I48" s="10"/>
      <c r="J48" s="11" t="s">
        <v>39</v>
      </c>
      <c r="K48" s="47"/>
      <c r="L48" s="17"/>
    </row>
  </sheetData>
  <mergeCells count="85">
    <mergeCell ref="K48:L48"/>
    <mergeCell ref="H43:J43"/>
    <mergeCell ref="C9:F9"/>
    <mergeCell ref="H41:J41"/>
    <mergeCell ref="B36:L36"/>
    <mergeCell ref="G14:J14"/>
    <mergeCell ref="A6:B6"/>
    <mergeCell ref="H9:L9"/>
    <mergeCell ref="C41:G41"/>
    <mergeCell ref="B14:F14"/>
    <mergeCell ref="C43:G43"/>
    <mergeCell ref="A10:L10"/>
    <mergeCell ref="G17:J17"/>
    <mergeCell ref="A28:L28"/>
    <mergeCell ref="G19:J19"/>
    <mergeCell ref="C2:J4"/>
    <mergeCell ref="H46:J46"/>
    <mergeCell ref="A25:L25"/>
    <mergeCell ref="C8:F8"/>
    <mergeCell ref="G16:J16"/>
    <mergeCell ref="K45:L45"/>
    <mergeCell ref="H45:J45"/>
    <mergeCell ref="B21:F21"/>
    <mergeCell ref="K11:L11"/>
    <mergeCell ref="H6:L6"/>
    <mergeCell ref="K44:L44"/>
    <mergeCell ref="K46:L46"/>
    <mergeCell ref="B13:F13"/>
    <mergeCell ref="G13:J13"/>
    <mergeCell ref="B30:L30"/>
    <mergeCell ref="A1:B4"/>
    <mergeCell ref="E48:F48"/>
    <mergeCell ref="G22:J22"/>
    <mergeCell ref="C1:J1"/>
    <mergeCell ref="A5:L5"/>
    <mergeCell ref="K1:L1"/>
    <mergeCell ref="K41:L41"/>
    <mergeCell ref="G21:J21"/>
    <mergeCell ref="B17:F17"/>
    <mergeCell ref="H42:J42"/>
    <mergeCell ref="K43:L43"/>
    <mergeCell ref="H7:L7"/>
    <mergeCell ref="C46:G46"/>
    <mergeCell ref="B29:L29"/>
    <mergeCell ref="B19:F19"/>
    <mergeCell ref="B37:L37"/>
    <mergeCell ref="A40:L40"/>
    <mergeCell ref="C6:F6"/>
    <mergeCell ref="K3:L4"/>
    <mergeCell ref="B38:L38"/>
    <mergeCell ref="K2:L2"/>
    <mergeCell ref="K42:L42"/>
    <mergeCell ref="A34:L34"/>
    <mergeCell ref="G18:J18"/>
    <mergeCell ref="B20:F20"/>
    <mergeCell ref="B15:F15"/>
    <mergeCell ref="B33:L33"/>
    <mergeCell ref="A9:B9"/>
    <mergeCell ref="B32:L32"/>
    <mergeCell ref="G11:J12"/>
    <mergeCell ref="B35:L35"/>
    <mergeCell ref="C42:G42"/>
    <mergeCell ref="G20:J20"/>
    <mergeCell ref="A11:F12"/>
    <mergeCell ref="A7:B7"/>
    <mergeCell ref="C47:G47"/>
    <mergeCell ref="A41:B41"/>
    <mergeCell ref="B39:L39"/>
    <mergeCell ref="A23:L23"/>
    <mergeCell ref="C44:G44"/>
    <mergeCell ref="H44:J44"/>
    <mergeCell ref="A8:B8"/>
    <mergeCell ref="A24:L24"/>
    <mergeCell ref="K47:L47"/>
    <mergeCell ref="H47:J47"/>
    <mergeCell ref="G15:J15"/>
    <mergeCell ref="H8:L8"/>
    <mergeCell ref="C7:F7"/>
    <mergeCell ref="B22:F22"/>
    <mergeCell ref="B16:F16"/>
    <mergeCell ref="C45:G45"/>
    <mergeCell ref="B31:L31"/>
    <mergeCell ref="B18:F18"/>
    <mergeCell ref="A26:L26"/>
    <mergeCell ref="A27:L27"/>
  </mergeCells>
  <dataValidations count="1">
    <dataValidation type="whole" allowBlank="1" showInputMessage="1" showErrorMessage="1" sqref="I48 K48:L48" xr:uid="{00000000-0002-0000-0000-000000000000}">
      <formula1>1</formula1>
      <formula2>5</formula2>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1"/>
  <sheetViews>
    <sheetView tabSelected="1" topLeftCell="A85" workbookViewId="0">
      <selection activeCell="D3" sqref="D3"/>
    </sheetView>
  </sheetViews>
  <sheetFormatPr baseColWidth="10" defaultColWidth="9.140625" defaultRowHeight="15" x14ac:dyDescent="0.25"/>
  <cols>
    <col min="1" max="1" width="10.7109375" style="50" customWidth="1"/>
    <col min="2" max="2" width="14.7109375" style="50" bestFit="1" customWidth="1"/>
    <col min="3" max="3" width="19.140625" style="50" customWidth="1"/>
    <col min="4" max="4" width="61.140625" style="50" customWidth="1"/>
    <col min="5" max="5" width="118.140625" style="50" customWidth="1"/>
    <col min="6" max="16384" width="9.140625" style="50"/>
  </cols>
  <sheetData>
    <row r="1" spans="1:5" x14ac:dyDescent="0.25">
      <c r="A1" s="48" t="s">
        <v>40</v>
      </c>
      <c r="B1" s="48" t="s">
        <v>41</v>
      </c>
      <c r="C1" s="48" t="s">
        <v>42</v>
      </c>
      <c r="D1" s="48" t="s">
        <v>43</v>
      </c>
      <c r="E1" s="49" t="s">
        <v>44</v>
      </c>
    </row>
    <row r="2" spans="1:5" ht="90" x14ac:dyDescent="0.25">
      <c r="A2" s="51" t="s">
        <v>45</v>
      </c>
      <c r="B2" s="51" t="s">
        <v>9</v>
      </c>
      <c r="C2" s="51" t="str">
        <f>+LISTADO!$H$7</f>
        <v>Juan Carlos Ramírez / Diego Mesa</v>
      </c>
      <c r="D2" s="51" t="s">
        <v>46</v>
      </c>
      <c r="E2" s="51" t="s">
        <v>47</v>
      </c>
    </row>
    <row r="3" spans="1:5" ht="105" x14ac:dyDescent="0.25">
      <c r="A3" s="51" t="s">
        <v>45</v>
      </c>
      <c r="B3" s="51" t="s">
        <v>9</v>
      </c>
      <c r="C3" s="51" t="str">
        <f>+LISTADO!$H$7</f>
        <v>Juan Carlos Ramírez / Diego Mesa</v>
      </c>
      <c r="D3" s="51" t="s">
        <v>46</v>
      </c>
      <c r="E3" s="51" t="s">
        <v>48</v>
      </c>
    </row>
    <row r="4" spans="1:5" ht="60" x14ac:dyDescent="0.25">
      <c r="A4" s="51" t="s">
        <v>45</v>
      </c>
      <c r="B4" s="51" t="s">
        <v>9</v>
      </c>
      <c r="C4" s="51" t="str">
        <f>+LISTADO!$H$7</f>
        <v>Juan Carlos Ramírez / Diego Mesa</v>
      </c>
      <c r="D4" s="51" t="s">
        <v>46</v>
      </c>
      <c r="E4" s="51" t="s">
        <v>49</v>
      </c>
    </row>
    <row r="5" spans="1:5" ht="60" x14ac:dyDescent="0.25">
      <c r="A5" s="51" t="s">
        <v>45</v>
      </c>
      <c r="B5" s="51" t="s">
        <v>9</v>
      </c>
      <c r="C5" s="51" t="str">
        <f>+LISTADO!$H$7</f>
        <v>Juan Carlos Ramírez / Diego Mesa</v>
      </c>
      <c r="D5" s="51" t="s">
        <v>46</v>
      </c>
      <c r="E5" s="51" t="s">
        <v>50</v>
      </c>
    </row>
    <row r="6" spans="1:5" ht="45" x14ac:dyDescent="0.25">
      <c r="A6" s="51" t="s">
        <v>45</v>
      </c>
      <c r="B6" s="51" t="s">
        <v>9</v>
      </c>
      <c r="C6" s="51" t="str">
        <f>+LISTADO!$H$7</f>
        <v>Juan Carlos Ramírez / Diego Mesa</v>
      </c>
      <c r="D6" s="51" t="s">
        <v>46</v>
      </c>
      <c r="E6" s="51" t="s">
        <v>51</v>
      </c>
    </row>
    <row r="7" spans="1:5" ht="45" x14ac:dyDescent="0.25">
      <c r="A7" s="51" t="s">
        <v>45</v>
      </c>
      <c r="B7" s="51" t="s">
        <v>9</v>
      </c>
      <c r="C7" s="51" t="str">
        <f>+LISTADO!$H$7</f>
        <v>Juan Carlos Ramírez / Diego Mesa</v>
      </c>
      <c r="D7" s="51" t="s">
        <v>46</v>
      </c>
      <c r="E7" s="51" t="s">
        <v>52</v>
      </c>
    </row>
    <row r="8" spans="1:5" ht="30" x14ac:dyDescent="0.25">
      <c r="A8" s="51" t="s">
        <v>45</v>
      </c>
      <c r="B8" s="51" t="s">
        <v>9</v>
      </c>
      <c r="C8" s="51" t="str">
        <f>+LISTADO!$H$7</f>
        <v>Juan Carlos Ramírez / Diego Mesa</v>
      </c>
      <c r="D8" s="51" t="s">
        <v>46</v>
      </c>
      <c r="E8" s="51" t="s">
        <v>53</v>
      </c>
    </row>
    <row r="9" spans="1:5" ht="30" x14ac:dyDescent="0.25">
      <c r="A9" s="51" t="s">
        <v>45</v>
      </c>
      <c r="B9" s="51" t="s">
        <v>9</v>
      </c>
      <c r="C9" s="51" t="str">
        <f>+LISTADO!$H$7</f>
        <v>Juan Carlos Ramírez / Diego Mesa</v>
      </c>
      <c r="D9" s="51" t="s">
        <v>46</v>
      </c>
      <c r="E9" s="51" t="s">
        <v>54</v>
      </c>
    </row>
    <row r="10" spans="1:5" ht="30" x14ac:dyDescent="0.25">
      <c r="A10" s="51" t="s">
        <v>45</v>
      </c>
      <c r="B10" s="51" t="s">
        <v>9</v>
      </c>
      <c r="C10" s="51" t="str">
        <f>+LISTADO!$H$7</f>
        <v>Juan Carlos Ramírez / Diego Mesa</v>
      </c>
      <c r="D10" s="51" t="s">
        <v>46</v>
      </c>
      <c r="E10" s="51" t="s">
        <v>55</v>
      </c>
    </row>
    <row r="11" spans="1:5" ht="30" x14ac:dyDescent="0.25">
      <c r="A11" s="51" t="s">
        <v>45</v>
      </c>
      <c r="B11" s="51" t="s">
        <v>9</v>
      </c>
      <c r="C11" s="51" t="str">
        <f>+LISTADO!$H$7</f>
        <v>Juan Carlos Ramírez / Diego Mesa</v>
      </c>
      <c r="D11" s="51" t="s">
        <v>46</v>
      </c>
      <c r="E11" s="51" t="s">
        <v>56</v>
      </c>
    </row>
    <row r="12" spans="1:5" ht="60" x14ac:dyDescent="0.25">
      <c r="A12" s="51" t="s">
        <v>57</v>
      </c>
      <c r="B12" s="51" t="s">
        <v>9</v>
      </c>
      <c r="C12" s="51" t="str">
        <f>+LISTADO!$H$7</f>
        <v>Juan Carlos Ramírez / Diego Mesa</v>
      </c>
      <c r="D12" s="51" t="s">
        <v>58</v>
      </c>
      <c r="E12" s="51" t="s">
        <v>59</v>
      </c>
    </row>
    <row r="13" spans="1:5" ht="60" x14ac:dyDescent="0.25">
      <c r="A13" s="51" t="s">
        <v>57</v>
      </c>
      <c r="B13" s="51" t="s">
        <v>9</v>
      </c>
      <c r="C13" s="51" t="str">
        <f>+LISTADO!$H$7</f>
        <v>Juan Carlos Ramírez / Diego Mesa</v>
      </c>
      <c r="D13" s="51" t="s">
        <v>58</v>
      </c>
      <c r="E13" s="51" t="s">
        <v>60</v>
      </c>
    </row>
    <row r="14" spans="1:5" ht="75" x14ac:dyDescent="0.25">
      <c r="A14" s="51" t="s">
        <v>57</v>
      </c>
      <c r="B14" s="51" t="s">
        <v>9</v>
      </c>
      <c r="C14" s="51" t="str">
        <f>+LISTADO!$H$7</f>
        <v>Juan Carlos Ramírez / Diego Mesa</v>
      </c>
      <c r="D14" s="51" t="s">
        <v>58</v>
      </c>
      <c r="E14" s="51" t="s">
        <v>61</v>
      </c>
    </row>
    <row r="15" spans="1:5" ht="75" x14ac:dyDescent="0.25">
      <c r="A15" s="51" t="s">
        <v>57</v>
      </c>
      <c r="B15" s="51" t="s">
        <v>9</v>
      </c>
      <c r="C15" s="51" t="str">
        <f>+LISTADO!$H$7</f>
        <v>Juan Carlos Ramírez / Diego Mesa</v>
      </c>
      <c r="D15" s="51" t="s">
        <v>58</v>
      </c>
      <c r="E15" s="51" t="s">
        <v>62</v>
      </c>
    </row>
    <row r="16" spans="1:5" ht="75" x14ac:dyDescent="0.25">
      <c r="A16" s="51" t="s">
        <v>57</v>
      </c>
      <c r="B16" s="51" t="s">
        <v>9</v>
      </c>
      <c r="C16" s="51" t="str">
        <f>+LISTADO!$H$7</f>
        <v>Juan Carlos Ramírez / Diego Mesa</v>
      </c>
      <c r="D16" s="51" t="s">
        <v>58</v>
      </c>
      <c r="E16" s="51" t="s">
        <v>63</v>
      </c>
    </row>
    <row r="17" spans="1:5" ht="60" x14ac:dyDescent="0.25">
      <c r="A17" s="51" t="s">
        <v>57</v>
      </c>
      <c r="B17" s="51" t="s">
        <v>9</v>
      </c>
      <c r="C17" s="51" t="str">
        <f>+LISTADO!$H$7</f>
        <v>Juan Carlos Ramírez / Diego Mesa</v>
      </c>
      <c r="D17" s="51" t="s">
        <v>58</v>
      </c>
      <c r="E17" s="51" t="s">
        <v>64</v>
      </c>
    </row>
    <row r="18" spans="1:5" ht="60" x14ac:dyDescent="0.25">
      <c r="A18" s="51" t="s">
        <v>57</v>
      </c>
      <c r="B18" s="51" t="s">
        <v>9</v>
      </c>
      <c r="C18" s="51" t="str">
        <f>+LISTADO!$H$7</f>
        <v>Juan Carlos Ramírez / Diego Mesa</v>
      </c>
      <c r="D18" s="51" t="s">
        <v>58</v>
      </c>
      <c r="E18" s="51" t="s">
        <v>65</v>
      </c>
    </row>
    <row r="19" spans="1:5" ht="60" x14ac:dyDescent="0.25">
      <c r="A19" s="51" t="s">
        <v>57</v>
      </c>
      <c r="B19" s="51" t="s">
        <v>9</v>
      </c>
      <c r="C19" s="51" t="str">
        <f>+LISTADO!$H$7</f>
        <v>Juan Carlos Ramírez / Diego Mesa</v>
      </c>
      <c r="D19" s="51" t="s">
        <v>58</v>
      </c>
      <c r="E19" s="51" t="s">
        <v>66</v>
      </c>
    </row>
    <row r="20" spans="1:5" ht="60" x14ac:dyDescent="0.25">
      <c r="A20" s="51" t="s">
        <v>57</v>
      </c>
      <c r="B20" s="51" t="s">
        <v>9</v>
      </c>
      <c r="C20" s="51" t="str">
        <f>+LISTADO!$H$7</f>
        <v>Juan Carlos Ramírez / Diego Mesa</v>
      </c>
      <c r="D20" s="51" t="s">
        <v>58</v>
      </c>
      <c r="E20" s="51" t="s">
        <v>67</v>
      </c>
    </row>
    <row r="21" spans="1:5" ht="60" x14ac:dyDescent="0.25">
      <c r="A21" s="51" t="s">
        <v>57</v>
      </c>
      <c r="B21" s="51" t="s">
        <v>9</v>
      </c>
      <c r="C21" s="51" t="str">
        <f>+LISTADO!$H$7</f>
        <v>Juan Carlos Ramírez / Diego Mesa</v>
      </c>
      <c r="D21" s="51" t="s">
        <v>58</v>
      </c>
      <c r="E21" s="51" t="s">
        <v>68</v>
      </c>
    </row>
    <row r="22" spans="1:5" ht="60" x14ac:dyDescent="0.25">
      <c r="A22" s="51" t="s">
        <v>69</v>
      </c>
      <c r="B22" s="51" t="s">
        <v>9</v>
      </c>
      <c r="C22" s="51" t="str">
        <f>+LISTADO!$H$7</f>
        <v>Juan Carlos Ramírez / Diego Mesa</v>
      </c>
      <c r="D22" s="51" t="s">
        <v>70</v>
      </c>
      <c r="E22" s="51" t="s">
        <v>71</v>
      </c>
    </row>
    <row r="23" spans="1:5" ht="75" x14ac:dyDescent="0.25">
      <c r="A23" s="51" t="s">
        <v>69</v>
      </c>
      <c r="B23" s="51" t="s">
        <v>9</v>
      </c>
      <c r="C23" s="51" t="str">
        <f>+LISTADO!$H$7</f>
        <v>Juan Carlos Ramírez / Diego Mesa</v>
      </c>
      <c r="D23" s="51" t="s">
        <v>70</v>
      </c>
      <c r="E23" s="51" t="s">
        <v>72</v>
      </c>
    </row>
    <row r="24" spans="1:5" ht="60" x14ac:dyDescent="0.25">
      <c r="A24" s="51" t="s">
        <v>69</v>
      </c>
      <c r="B24" s="51" t="s">
        <v>9</v>
      </c>
      <c r="C24" s="51" t="str">
        <f>+LISTADO!$H$7</f>
        <v>Juan Carlos Ramírez / Diego Mesa</v>
      </c>
      <c r="D24" s="51" t="s">
        <v>70</v>
      </c>
      <c r="E24" s="51" t="s">
        <v>73</v>
      </c>
    </row>
    <row r="25" spans="1:5" ht="75" x14ac:dyDescent="0.25">
      <c r="A25" s="51" t="s">
        <v>69</v>
      </c>
      <c r="B25" s="51" t="s">
        <v>9</v>
      </c>
      <c r="C25" s="51" t="str">
        <f>+LISTADO!$H$7</f>
        <v>Juan Carlos Ramírez / Diego Mesa</v>
      </c>
      <c r="D25" s="51" t="s">
        <v>70</v>
      </c>
      <c r="E25" s="51" t="s">
        <v>74</v>
      </c>
    </row>
    <row r="26" spans="1:5" ht="60" x14ac:dyDescent="0.25">
      <c r="A26" s="51" t="s">
        <v>69</v>
      </c>
      <c r="B26" s="51" t="s">
        <v>9</v>
      </c>
      <c r="C26" s="51" t="str">
        <f>+LISTADO!$H$7</f>
        <v>Juan Carlos Ramírez / Diego Mesa</v>
      </c>
      <c r="D26" s="51" t="s">
        <v>70</v>
      </c>
      <c r="E26" s="51" t="s">
        <v>75</v>
      </c>
    </row>
    <row r="27" spans="1:5" ht="60" x14ac:dyDescent="0.25">
      <c r="A27" s="51" t="s">
        <v>69</v>
      </c>
      <c r="B27" s="51" t="s">
        <v>9</v>
      </c>
      <c r="C27" s="51" t="str">
        <f>+LISTADO!$H$7</f>
        <v>Juan Carlos Ramírez / Diego Mesa</v>
      </c>
      <c r="D27" s="51" t="s">
        <v>70</v>
      </c>
      <c r="E27" s="51" t="s">
        <v>76</v>
      </c>
    </row>
    <row r="28" spans="1:5" ht="60" x14ac:dyDescent="0.25">
      <c r="A28" s="51" t="s">
        <v>69</v>
      </c>
      <c r="B28" s="51" t="s">
        <v>9</v>
      </c>
      <c r="C28" s="51" t="str">
        <f>+LISTADO!$H$7</f>
        <v>Juan Carlos Ramírez / Diego Mesa</v>
      </c>
      <c r="D28" s="51" t="s">
        <v>70</v>
      </c>
      <c r="E28" s="51" t="s">
        <v>77</v>
      </c>
    </row>
    <row r="29" spans="1:5" ht="60" x14ac:dyDescent="0.25">
      <c r="A29" s="51" t="s">
        <v>69</v>
      </c>
      <c r="B29" s="51" t="s">
        <v>9</v>
      </c>
      <c r="C29" s="51" t="str">
        <f>+LISTADO!$H$7</f>
        <v>Juan Carlos Ramírez / Diego Mesa</v>
      </c>
      <c r="D29" s="51" t="s">
        <v>70</v>
      </c>
      <c r="E29" s="51" t="s">
        <v>78</v>
      </c>
    </row>
    <row r="30" spans="1:5" ht="60" x14ac:dyDescent="0.25">
      <c r="A30" s="51" t="s">
        <v>69</v>
      </c>
      <c r="B30" s="51" t="s">
        <v>9</v>
      </c>
      <c r="C30" s="51" t="str">
        <f>+LISTADO!$H$7</f>
        <v>Juan Carlos Ramírez / Diego Mesa</v>
      </c>
      <c r="D30" s="51" t="s">
        <v>70</v>
      </c>
      <c r="E30" s="51" t="s">
        <v>79</v>
      </c>
    </row>
    <row r="31" spans="1:5" ht="60" x14ac:dyDescent="0.25">
      <c r="A31" s="51" t="s">
        <v>69</v>
      </c>
      <c r="B31" s="51" t="s">
        <v>9</v>
      </c>
      <c r="C31" s="51" t="str">
        <f>+LISTADO!$H$7</f>
        <v>Juan Carlos Ramírez / Diego Mesa</v>
      </c>
      <c r="D31" s="51" t="s">
        <v>70</v>
      </c>
      <c r="E31" s="51" t="s">
        <v>80</v>
      </c>
    </row>
    <row r="32" spans="1:5" ht="75" x14ac:dyDescent="0.25">
      <c r="A32" s="51" t="s">
        <v>81</v>
      </c>
      <c r="B32" s="51" t="s">
        <v>9</v>
      </c>
      <c r="C32" s="51" t="str">
        <f>+LISTADO!$H$7</f>
        <v>Juan Carlos Ramírez / Diego Mesa</v>
      </c>
      <c r="D32" s="51" t="s">
        <v>82</v>
      </c>
      <c r="E32" s="51" t="s">
        <v>83</v>
      </c>
    </row>
    <row r="33" spans="1:5" ht="75" x14ac:dyDescent="0.25">
      <c r="A33" s="51" t="s">
        <v>81</v>
      </c>
      <c r="B33" s="51" t="s">
        <v>9</v>
      </c>
      <c r="C33" s="51" t="str">
        <f>+LISTADO!$H$7</f>
        <v>Juan Carlos Ramírez / Diego Mesa</v>
      </c>
      <c r="D33" s="51" t="s">
        <v>82</v>
      </c>
      <c r="E33" s="51" t="s">
        <v>84</v>
      </c>
    </row>
    <row r="34" spans="1:5" ht="75" x14ac:dyDescent="0.25">
      <c r="A34" s="51" t="s">
        <v>81</v>
      </c>
      <c r="B34" s="51" t="s">
        <v>9</v>
      </c>
      <c r="C34" s="51" t="str">
        <f>+LISTADO!$H$7</f>
        <v>Juan Carlos Ramírez / Diego Mesa</v>
      </c>
      <c r="D34" s="51" t="s">
        <v>82</v>
      </c>
      <c r="E34" s="51" t="s">
        <v>85</v>
      </c>
    </row>
    <row r="35" spans="1:5" ht="75" x14ac:dyDescent="0.25">
      <c r="A35" s="51" t="s">
        <v>81</v>
      </c>
      <c r="B35" s="51" t="s">
        <v>9</v>
      </c>
      <c r="C35" s="51" t="str">
        <f>+LISTADO!$H$7</f>
        <v>Juan Carlos Ramírez / Diego Mesa</v>
      </c>
      <c r="D35" s="51" t="s">
        <v>82</v>
      </c>
      <c r="E35" s="51" t="s">
        <v>86</v>
      </c>
    </row>
    <row r="36" spans="1:5" ht="75" x14ac:dyDescent="0.25">
      <c r="A36" s="51" t="s">
        <v>81</v>
      </c>
      <c r="B36" s="51" t="s">
        <v>9</v>
      </c>
      <c r="C36" s="51" t="str">
        <f>+LISTADO!$H$7</f>
        <v>Juan Carlos Ramírez / Diego Mesa</v>
      </c>
      <c r="D36" s="51" t="s">
        <v>82</v>
      </c>
      <c r="E36" s="51" t="s">
        <v>87</v>
      </c>
    </row>
    <row r="37" spans="1:5" ht="75" x14ac:dyDescent="0.25">
      <c r="A37" s="51" t="s">
        <v>81</v>
      </c>
      <c r="B37" s="51" t="s">
        <v>9</v>
      </c>
      <c r="C37" s="51" t="str">
        <f>+LISTADO!$H$7</f>
        <v>Juan Carlos Ramírez / Diego Mesa</v>
      </c>
      <c r="D37" s="51" t="s">
        <v>82</v>
      </c>
      <c r="E37" s="51" t="s">
        <v>88</v>
      </c>
    </row>
    <row r="38" spans="1:5" ht="75" x14ac:dyDescent="0.25">
      <c r="A38" s="51" t="s">
        <v>81</v>
      </c>
      <c r="B38" s="51" t="s">
        <v>9</v>
      </c>
      <c r="C38" s="51" t="str">
        <f>+LISTADO!$H$7</f>
        <v>Juan Carlos Ramírez / Diego Mesa</v>
      </c>
      <c r="D38" s="51" t="s">
        <v>82</v>
      </c>
      <c r="E38" s="51" t="s">
        <v>89</v>
      </c>
    </row>
    <row r="39" spans="1:5" ht="75" x14ac:dyDescent="0.25">
      <c r="A39" s="51" t="s">
        <v>81</v>
      </c>
      <c r="B39" s="51" t="s">
        <v>9</v>
      </c>
      <c r="C39" s="51" t="str">
        <f>+LISTADO!$H$7</f>
        <v>Juan Carlos Ramírez / Diego Mesa</v>
      </c>
      <c r="D39" s="51" t="s">
        <v>82</v>
      </c>
      <c r="E39" s="51" t="s">
        <v>90</v>
      </c>
    </row>
    <row r="40" spans="1:5" ht="75" x14ac:dyDescent="0.25">
      <c r="A40" s="51" t="s">
        <v>81</v>
      </c>
      <c r="B40" s="51" t="s">
        <v>9</v>
      </c>
      <c r="C40" s="51" t="str">
        <f>+LISTADO!$H$7</f>
        <v>Juan Carlos Ramírez / Diego Mesa</v>
      </c>
      <c r="D40" s="51" t="s">
        <v>82</v>
      </c>
      <c r="E40" s="51" t="s">
        <v>91</v>
      </c>
    </row>
    <row r="41" spans="1:5" ht="75" x14ac:dyDescent="0.25">
      <c r="A41" s="51" t="s">
        <v>81</v>
      </c>
      <c r="B41" s="51" t="s">
        <v>9</v>
      </c>
      <c r="C41" s="51" t="str">
        <f>+LISTADO!$H$7</f>
        <v>Juan Carlos Ramírez / Diego Mesa</v>
      </c>
      <c r="D41" s="51" t="s">
        <v>82</v>
      </c>
      <c r="E41" s="51" t="s">
        <v>92</v>
      </c>
    </row>
    <row r="42" spans="1:5" ht="45" x14ac:dyDescent="0.25">
      <c r="A42" s="51" t="s">
        <v>93</v>
      </c>
      <c r="B42" s="51" t="s">
        <v>9</v>
      </c>
      <c r="C42" s="51" t="str">
        <f>+LISTADO!$H$7</f>
        <v>Juan Carlos Ramírez / Diego Mesa</v>
      </c>
      <c r="D42" s="51" t="s">
        <v>94</v>
      </c>
      <c r="E42" s="51" t="s">
        <v>95</v>
      </c>
    </row>
    <row r="43" spans="1:5" ht="45" x14ac:dyDescent="0.25">
      <c r="A43" s="51" t="s">
        <v>93</v>
      </c>
      <c r="B43" s="51" t="s">
        <v>9</v>
      </c>
      <c r="C43" s="51" t="str">
        <f>+LISTADO!$H$7</f>
        <v>Juan Carlos Ramírez / Diego Mesa</v>
      </c>
      <c r="D43" s="51" t="s">
        <v>94</v>
      </c>
      <c r="E43" s="51" t="s">
        <v>96</v>
      </c>
    </row>
    <row r="44" spans="1:5" ht="60" x14ac:dyDescent="0.25">
      <c r="A44" s="51" t="s">
        <v>93</v>
      </c>
      <c r="B44" s="51" t="s">
        <v>9</v>
      </c>
      <c r="C44" s="51" t="str">
        <f>+LISTADO!$H$7</f>
        <v>Juan Carlos Ramírez / Diego Mesa</v>
      </c>
      <c r="D44" s="51" t="s">
        <v>94</v>
      </c>
      <c r="E44" s="51" t="s">
        <v>97</v>
      </c>
    </row>
    <row r="45" spans="1:5" ht="45" x14ac:dyDescent="0.25">
      <c r="A45" s="51" t="s">
        <v>93</v>
      </c>
      <c r="B45" s="51" t="s">
        <v>9</v>
      </c>
      <c r="C45" s="51" t="str">
        <f>+LISTADO!$H$7</f>
        <v>Juan Carlos Ramírez / Diego Mesa</v>
      </c>
      <c r="D45" s="51" t="s">
        <v>94</v>
      </c>
      <c r="E45" s="51" t="s">
        <v>98</v>
      </c>
    </row>
    <row r="46" spans="1:5" ht="60" x14ac:dyDescent="0.25">
      <c r="A46" s="51" t="s">
        <v>93</v>
      </c>
      <c r="B46" s="51" t="s">
        <v>9</v>
      </c>
      <c r="C46" s="51" t="str">
        <f>+LISTADO!$H$7</f>
        <v>Juan Carlos Ramírez / Diego Mesa</v>
      </c>
      <c r="D46" s="51" t="s">
        <v>94</v>
      </c>
      <c r="E46" s="51" t="s">
        <v>99</v>
      </c>
    </row>
    <row r="47" spans="1:5" ht="45" x14ac:dyDescent="0.25">
      <c r="A47" s="51" t="s">
        <v>93</v>
      </c>
      <c r="B47" s="51" t="s">
        <v>9</v>
      </c>
      <c r="C47" s="51" t="str">
        <f>+LISTADO!$H$7</f>
        <v>Juan Carlos Ramírez / Diego Mesa</v>
      </c>
      <c r="D47" s="51" t="s">
        <v>94</v>
      </c>
      <c r="E47" s="51" t="s">
        <v>100</v>
      </c>
    </row>
    <row r="48" spans="1:5" ht="45" x14ac:dyDescent="0.25">
      <c r="A48" s="51" t="s">
        <v>93</v>
      </c>
      <c r="B48" s="51" t="s">
        <v>9</v>
      </c>
      <c r="C48" s="51" t="str">
        <f>+LISTADO!$H$7</f>
        <v>Juan Carlos Ramírez / Diego Mesa</v>
      </c>
      <c r="D48" s="51" t="s">
        <v>94</v>
      </c>
      <c r="E48" s="51" t="s">
        <v>101</v>
      </c>
    </row>
    <row r="49" spans="1:5" ht="45" x14ac:dyDescent="0.25">
      <c r="A49" s="51" t="s">
        <v>93</v>
      </c>
      <c r="B49" s="51" t="s">
        <v>9</v>
      </c>
      <c r="C49" s="51" t="str">
        <f>+LISTADO!$H$7</f>
        <v>Juan Carlos Ramírez / Diego Mesa</v>
      </c>
      <c r="D49" s="51" t="s">
        <v>94</v>
      </c>
      <c r="E49" s="51" t="s">
        <v>102</v>
      </c>
    </row>
    <row r="50" spans="1:5" ht="45" x14ac:dyDescent="0.25">
      <c r="A50" s="51" t="s">
        <v>93</v>
      </c>
      <c r="B50" s="51" t="s">
        <v>9</v>
      </c>
      <c r="C50" s="51" t="str">
        <f>+LISTADO!$H$7</f>
        <v>Juan Carlos Ramírez / Diego Mesa</v>
      </c>
      <c r="D50" s="51" t="s">
        <v>94</v>
      </c>
      <c r="E50" s="51" t="s">
        <v>103</v>
      </c>
    </row>
    <row r="51" spans="1:5" ht="45" x14ac:dyDescent="0.25">
      <c r="A51" s="51" t="s">
        <v>93</v>
      </c>
      <c r="B51" s="51" t="s">
        <v>9</v>
      </c>
      <c r="C51" s="51" t="str">
        <f>+LISTADO!$H$7</f>
        <v>Juan Carlos Ramírez / Diego Mesa</v>
      </c>
      <c r="D51" s="51" t="s">
        <v>94</v>
      </c>
      <c r="E51" s="51" t="s">
        <v>104</v>
      </c>
    </row>
    <row r="52" spans="1:5" ht="60" x14ac:dyDescent="0.25">
      <c r="A52" s="51" t="s">
        <v>105</v>
      </c>
      <c r="B52" s="51" t="s">
        <v>9</v>
      </c>
      <c r="C52" s="51" t="str">
        <f>+LISTADO!$H$7</f>
        <v>Juan Carlos Ramírez / Diego Mesa</v>
      </c>
      <c r="D52" s="51" t="s">
        <v>106</v>
      </c>
      <c r="E52" s="51" t="s">
        <v>107</v>
      </c>
    </row>
    <row r="53" spans="1:5" ht="60" x14ac:dyDescent="0.25">
      <c r="A53" s="51" t="s">
        <v>105</v>
      </c>
      <c r="B53" s="51" t="s">
        <v>9</v>
      </c>
      <c r="C53" s="51" t="str">
        <f>+LISTADO!$H$7</f>
        <v>Juan Carlos Ramírez / Diego Mesa</v>
      </c>
      <c r="D53" s="51" t="s">
        <v>106</v>
      </c>
      <c r="E53" s="51" t="s">
        <v>108</v>
      </c>
    </row>
    <row r="54" spans="1:5" ht="60" x14ac:dyDescent="0.25">
      <c r="A54" s="51" t="s">
        <v>105</v>
      </c>
      <c r="B54" s="51" t="s">
        <v>9</v>
      </c>
      <c r="C54" s="51" t="str">
        <f>+LISTADO!$H$7</f>
        <v>Juan Carlos Ramírez / Diego Mesa</v>
      </c>
      <c r="D54" s="51" t="s">
        <v>106</v>
      </c>
      <c r="E54" s="51" t="s">
        <v>86</v>
      </c>
    </row>
    <row r="55" spans="1:5" ht="60" x14ac:dyDescent="0.25">
      <c r="A55" s="51" t="s">
        <v>105</v>
      </c>
      <c r="B55" s="51" t="s">
        <v>9</v>
      </c>
      <c r="C55" s="51" t="str">
        <f>+LISTADO!$H$7</f>
        <v>Juan Carlos Ramírez / Diego Mesa</v>
      </c>
      <c r="D55" s="51" t="s">
        <v>106</v>
      </c>
      <c r="E55" s="51" t="s">
        <v>109</v>
      </c>
    </row>
    <row r="56" spans="1:5" ht="60" x14ac:dyDescent="0.25">
      <c r="A56" s="51" t="s">
        <v>105</v>
      </c>
      <c r="B56" s="51" t="s">
        <v>9</v>
      </c>
      <c r="C56" s="51" t="str">
        <f>+LISTADO!$H$7</f>
        <v>Juan Carlos Ramírez / Diego Mesa</v>
      </c>
      <c r="D56" s="51" t="s">
        <v>106</v>
      </c>
      <c r="E56" s="51" t="s">
        <v>110</v>
      </c>
    </row>
    <row r="57" spans="1:5" ht="60" x14ac:dyDescent="0.25">
      <c r="A57" s="51" t="s">
        <v>105</v>
      </c>
      <c r="B57" s="51" t="s">
        <v>9</v>
      </c>
      <c r="C57" s="51" t="str">
        <f>+LISTADO!$H$7</f>
        <v>Juan Carlos Ramírez / Diego Mesa</v>
      </c>
      <c r="D57" s="51" t="s">
        <v>106</v>
      </c>
      <c r="E57" s="51" t="s">
        <v>111</v>
      </c>
    </row>
    <row r="58" spans="1:5" ht="60" x14ac:dyDescent="0.25">
      <c r="A58" s="51" t="s">
        <v>105</v>
      </c>
      <c r="B58" s="51" t="s">
        <v>9</v>
      </c>
      <c r="C58" s="51" t="str">
        <f>+LISTADO!$H$7</f>
        <v>Juan Carlos Ramírez / Diego Mesa</v>
      </c>
      <c r="D58" s="51" t="s">
        <v>106</v>
      </c>
      <c r="E58" s="51" t="s">
        <v>112</v>
      </c>
    </row>
    <row r="59" spans="1:5" ht="60" x14ac:dyDescent="0.25">
      <c r="A59" s="51" t="s">
        <v>105</v>
      </c>
      <c r="B59" s="51" t="s">
        <v>9</v>
      </c>
      <c r="C59" s="51" t="str">
        <f>+LISTADO!$H$7</f>
        <v>Juan Carlos Ramírez / Diego Mesa</v>
      </c>
      <c r="D59" s="51" t="s">
        <v>106</v>
      </c>
      <c r="E59" s="51" t="s">
        <v>113</v>
      </c>
    </row>
    <row r="60" spans="1:5" ht="60" x14ac:dyDescent="0.25">
      <c r="A60" s="51" t="s">
        <v>105</v>
      </c>
      <c r="B60" s="51" t="s">
        <v>9</v>
      </c>
      <c r="C60" s="51" t="str">
        <f>+LISTADO!$H$7</f>
        <v>Juan Carlos Ramírez / Diego Mesa</v>
      </c>
      <c r="D60" s="51" t="s">
        <v>106</v>
      </c>
      <c r="E60" s="51" t="s">
        <v>114</v>
      </c>
    </row>
    <row r="61" spans="1:5" ht="60" x14ac:dyDescent="0.25">
      <c r="A61" s="51" t="s">
        <v>105</v>
      </c>
      <c r="B61" s="51" t="s">
        <v>9</v>
      </c>
      <c r="C61" s="51" t="str">
        <f>+LISTADO!$H$7</f>
        <v>Juan Carlos Ramírez / Diego Mesa</v>
      </c>
      <c r="D61" s="51" t="s">
        <v>106</v>
      </c>
      <c r="E61" s="51" t="s">
        <v>115</v>
      </c>
    </row>
    <row r="62" spans="1:5" ht="45" x14ac:dyDescent="0.25">
      <c r="A62" s="51" t="s">
        <v>116</v>
      </c>
      <c r="B62" s="51" t="s">
        <v>9</v>
      </c>
      <c r="C62" s="51" t="str">
        <f>+LISTADO!$H$7</f>
        <v>Juan Carlos Ramírez / Diego Mesa</v>
      </c>
      <c r="D62" s="51" t="s">
        <v>117</v>
      </c>
      <c r="E62" s="51" t="s">
        <v>118</v>
      </c>
    </row>
    <row r="63" spans="1:5" ht="45" x14ac:dyDescent="0.25">
      <c r="A63" s="51" t="s">
        <v>116</v>
      </c>
      <c r="B63" s="51" t="s">
        <v>9</v>
      </c>
      <c r="C63" s="51" t="str">
        <f>+LISTADO!$H$7</f>
        <v>Juan Carlos Ramírez / Diego Mesa</v>
      </c>
      <c r="D63" s="51" t="s">
        <v>117</v>
      </c>
      <c r="E63" s="51" t="s">
        <v>119</v>
      </c>
    </row>
    <row r="64" spans="1:5" ht="60" x14ac:dyDescent="0.25">
      <c r="A64" s="51" t="s">
        <v>116</v>
      </c>
      <c r="B64" s="51" t="s">
        <v>9</v>
      </c>
      <c r="C64" s="51" t="str">
        <f>+LISTADO!$H$7</f>
        <v>Juan Carlos Ramírez / Diego Mesa</v>
      </c>
      <c r="D64" s="51" t="s">
        <v>117</v>
      </c>
      <c r="E64" s="51" t="s">
        <v>120</v>
      </c>
    </row>
    <row r="65" spans="1:5" ht="45" x14ac:dyDescent="0.25">
      <c r="A65" s="51" t="s">
        <v>116</v>
      </c>
      <c r="B65" s="51" t="s">
        <v>9</v>
      </c>
      <c r="C65" s="51" t="str">
        <f>+LISTADO!$H$7</f>
        <v>Juan Carlos Ramírez / Diego Mesa</v>
      </c>
      <c r="D65" s="51" t="s">
        <v>117</v>
      </c>
      <c r="E65" s="51" t="s">
        <v>121</v>
      </c>
    </row>
    <row r="66" spans="1:5" ht="45" x14ac:dyDescent="0.25">
      <c r="A66" s="51" t="s">
        <v>116</v>
      </c>
      <c r="B66" s="51" t="s">
        <v>9</v>
      </c>
      <c r="C66" s="51" t="str">
        <f>+LISTADO!$H$7</f>
        <v>Juan Carlos Ramírez / Diego Mesa</v>
      </c>
      <c r="D66" s="51" t="s">
        <v>117</v>
      </c>
      <c r="E66" s="51" t="s">
        <v>122</v>
      </c>
    </row>
    <row r="67" spans="1:5" ht="45" x14ac:dyDescent="0.25">
      <c r="A67" s="51" t="s">
        <v>116</v>
      </c>
      <c r="B67" s="51" t="s">
        <v>9</v>
      </c>
      <c r="C67" s="51" t="str">
        <f>+LISTADO!$H$7</f>
        <v>Juan Carlos Ramírez / Diego Mesa</v>
      </c>
      <c r="D67" s="51" t="s">
        <v>117</v>
      </c>
      <c r="E67" s="51" t="s">
        <v>123</v>
      </c>
    </row>
    <row r="68" spans="1:5" ht="45" x14ac:dyDescent="0.25">
      <c r="A68" s="51" t="s">
        <v>116</v>
      </c>
      <c r="B68" s="51" t="s">
        <v>9</v>
      </c>
      <c r="C68" s="51" t="str">
        <f>+LISTADO!$H$7</f>
        <v>Juan Carlos Ramírez / Diego Mesa</v>
      </c>
      <c r="D68" s="51" t="s">
        <v>117</v>
      </c>
      <c r="E68" s="51" t="s">
        <v>124</v>
      </c>
    </row>
    <row r="69" spans="1:5" ht="45" x14ac:dyDescent="0.25">
      <c r="A69" s="51" t="s">
        <v>116</v>
      </c>
      <c r="B69" s="51" t="s">
        <v>9</v>
      </c>
      <c r="C69" s="51" t="str">
        <f>+LISTADO!$H$7</f>
        <v>Juan Carlos Ramírez / Diego Mesa</v>
      </c>
      <c r="D69" s="51" t="s">
        <v>117</v>
      </c>
      <c r="E69" s="51" t="s">
        <v>125</v>
      </c>
    </row>
    <row r="70" spans="1:5" ht="45" x14ac:dyDescent="0.25">
      <c r="A70" s="51" t="s">
        <v>116</v>
      </c>
      <c r="B70" s="51" t="s">
        <v>9</v>
      </c>
      <c r="C70" s="51" t="str">
        <f>+LISTADO!$H$7</f>
        <v>Juan Carlos Ramírez / Diego Mesa</v>
      </c>
      <c r="D70" s="51" t="s">
        <v>117</v>
      </c>
      <c r="E70" s="51" t="s">
        <v>126</v>
      </c>
    </row>
    <row r="71" spans="1:5" ht="45" x14ac:dyDescent="0.25">
      <c r="A71" s="51" t="s">
        <v>116</v>
      </c>
      <c r="B71" s="51" t="s">
        <v>9</v>
      </c>
      <c r="C71" s="51" t="str">
        <f>+LISTADO!$H$7</f>
        <v>Juan Carlos Ramírez / Diego Mesa</v>
      </c>
      <c r="D71" s="51" t="s">
        <v>117</v>
      </c>
      <c r="E71" s="51" t="s">
        <v>127</v>
      </c>
    </row>
    <row r="72" spans="1:5" ht="60" x14ac:dyDescent="0.25">
      <c r="A72" s="51" t="s">
        <v>128</v>
      </c>
      <c r="B72" s="51" t="s">
        <v>9</v>
      </c>
      <c r="C72" s="51" t="str">
        <f>+LISTADO!$H$7</f>
        <v>Juan Carlos Ramírez / Diego Mesa</v>
      </c>
      <c r="D72" s="51" t="s">
        <v>129</v>
      </c>
      <c r="E72" s="51" t="s">
        <v>130</v>
      </c>
    </row>
    <row r="73" spans="1:5" ht="60" x14ac:dyDescent="0.25">
      <c r="A73" s="51" t="s">
        <v>128</v>
      </c>
      <c r="B73" s="51" t="s">
        <v>9</v>
      </c>
      <c r="C73" s="51" t="str">
        <f>+LISTADO!$H$7</f>
        <v>Juan Carlos Ramírez / Diego Mesa</v>
      </c>
      <c r="D73" s="51" t="s">
        <v>129</v>
      </c>
      <c r="E73" s="51" t="s">
        <v>131</v>
      </c>
    </row>
    <row r="74" spans="1:5" ht="60" x14ac:dyDescent="0.25">
      <c r="A74" s="51" t="s">
        <v>128</v>
      </c>
      <c r="B74" s="51" t="s">
        <v>9</v>
      </c>
      <c r="C74" s="51" t="str">
        <f>+LISTADO!$H$7</f>
        <v>Juan Carlos Ramírez / Diego Mesa</v>
      </c>
      <c r="D74" s="51" t="s">
        <v>129</v>
      </c>
      <c r="E74" s="51" t="s">
        <v>132</v>
      </c>
    </row>
    <row r="75" spans="1:5" ht="60" x14ac:dyDescent="0.25">
      <c r="A75" s="51" t="s">
        <v>128</v>
      </c>
      <c r="B75" s="51" t="s">
        <v>9</v>
      </c>
      <c r="C75" s="51" t="str">
        <f>+LISTADO!$H$7</f>
        <v>Juan Carlos Ramírez / Diego Mesa</v>
      </c>
      <c r="D75" s="51" t="s">
        <v>129</v>
      </c>
      <c r="E75" s="51" t="s">
        <v>133</v>
      </c>
    </row>
    <row r="76" spans="1:5" ht="60" x14ac:dyDescent="0.25">
      <c r="A76" s="51" t="s">
        <v>128</v>
      </c>
      <c r="B76" s="51" t="s">
        <v>9</v>
      </c>
      <c r="C76" s="51" t="str">
        <f>+LISTADO!$H$7</f>
        <v>Juan Carlos Ramírez / Diego Mesa</v>
      </c>
      <c r="D76" s="51" t="s">
        <v>129</v>
      </c>
      <c r="E76" s="51" t="s">
        <v>134</v>
      </c>
    </row>
    <row r="77" spans="1:5" ht="60" x14ac:dyDescent="0.25">
      <c r="A77" s="51" t="s">
        <v>128</v>
      </c>
      <c r="B77" s="51" t="s">
        <v>9</v>
      </c>
      <c r="C77" s="51" t="str">
        <f>+LISTADO!$H$7</f>
        <v>Juan Carlos Ramírez / Diego Mesa</v>
      </c>
      <c r="D77" s="51" t="s">
        <v>129</v>
      </c>
      <c r="E77" s="51" t="s">
        <v>135</v>
      </c>
    </row>
    <row r="78" spans="1:5" ht="60" x14ac:dyDescent="0.25">
      <c r="A78" s="51" t="s">
        <v>128</v>
      </c>
      <c r="B78" s="51" t="s">
        <v>9</v>
      </c>
      <c r="C78" s="51" t="str">
        <f>+LISTADO!$H$7</f>
        <v>Juan Carlos Ramírez / Diego Mesa</v>
      </c>
      <c r="D78" s="51" t="s">
        <v>129</v>
      </c>
      <c r="E78" s="51" t="s">
        <v>136</v>
      </c>
    </row>
    <row r="79" spans="1:5" ht="60" x14ac:dyDescent="0.25">
      <c r="A79" s="51" t="s">
        <v>128</v>
      </c>
      <c r="B79" s="51" t="s">
        <v>9</v>
      </c>
      <c r="C79" s="51" t="str">
        <f>+LISTADO!$H$7</f>
        <v>Juan Carlos Ramírez / Diego Mesa</v>
      </c>
      <c r="D79" s="51" t="s">
        <v>129</v>
      </c>
      <c r="E79" s="51" t="s">
        <v>137</v>
      </c>
    </row>
    <row r="80" spans="1:5" ht="60" x14ac:dyDescent="0.25">
      <c r="A80" s="51" t="s">
        <v>128</v>
      </c>
      <c r="B80" s="51" t="s">
        <v>9</v>
      </c>
      <c r="C80" s="51" t="str">
        <f>+LISTADO!$H$7</f>
        <v>Juan Carlos Ramírez / Diego Mesa</v>
      </c>
      <c r="D80" s="51" t="s">
        <v>129</v>
      </c>
      <c r="E80" s="51" t="s">
        <v>138</v>
      </c>
    </row>
    <row r="81" spans="1:5" ht="60" x14ac:dyDescent="0.25">
      <c r="A81" s="51" t="s">
        <v>128</v>
      </c>
      <c r="B81" s="51" t="s">
        <v>9</v>
      </c>
      <c r="C81" s="51" t="str">
        <f>+LISTADO!$H$7</f>
        <v>Juan Carlos Ramírez / Diego Mesa</v>
      </c>
      <c r="D81" s="51" t="s">
        <v>129</v>
      </c>
      <c r="E81" s="51" t="s">
        <v>139</v>
      </c>
    </row>
    <row r="82" spans="1:5" ht="60" x14ac:dyDescent="0.25">
      <c r="A82" s="51" t="s">
        <v>140</v>
      </c>
      <c r="B82" s="51" t="s">
        <v>9</v>
      </c>
      <c r="C82" s="51" t="str">
        <f>+LISTADO!$H$7</f>
        <v>Juan Carlos Ramírez / Diego Mesa</v>
      </c>
      <c r="D82" s="51" t="s">
        <v>141</v>
      </c>
      <c r="E82" s="51" t="s">
        <v>142</v>
      </c>
    </row>
    <row r="83" spans="1:5" ht="60" x14ac:dyDescent="0.25">
      <c r="A83" s="51" t="s">
        <v>140</v>
      </c>
      <c r="B83" s="51" t="s">
        <v>9</v>
      </c>
      <c r="C83" s="51" t="str">
        <f>+LISTADO!$H$7</f>
        <v>Juan Carlos Ramírez / Diego Mesa</v>
      </c>
      <c r="D83" s="51" t="s">
        <v>141</v>
      </c>
      <c r="E83" s="51" t="s">
        <v>143</v>
      </c>
    </row>
    <row r="84" spans="1:5" ht="60" x14ac:dyDescent="0.25">
      <c r="A84" s="51" t="s">
        <v>140</v>
      </c>
      <c r="B84" s="51" t="s">
        <v>9</v>
      </c>
      <c r="C84" s="51" t="str">
        <f>+LISTADO!$H$7</f>
        <v>Juan Carlos Ramírez / Diego Mesa</v>
      </c>
      <c r="D84" s="51" t="s">
        <v>141</v>
      </c>
      <c r="E84" s="51" t="s">
        <v>144</v>
      </c>
    </row>
    <row r="85" spans="1:5" ht="60" x14ac:dyDescent="0.25">
      <c r="A85" s="51" t="s">
        <v>140</v>
      </c>
      <c r="B85" s="51" t="s">
        <v>9</v>
      </c>
      <c r="C85" s="51" t="str">
        <f>+LISTADO!$H$7</f>
        <v>Juan Carlos Ramírez / Diego Mesa</v>
      </c>
      <c r="D85" s="51" t="s">
        <v>141</v>
      </c>
      <c r="E85" s="51" t="s">
        <v>145</v>
      </c>
    </row>
    <row r="86" spans="1:5" ht="60" x14ac:dyDescent="0.25">
      <c r="A86" s="51" t="s">
        <v>140</v>
      </c>
      <c r="B86" s="51" t="s">
        <v>9</v>
      </c>
      <c r="C86" s="51" t="str">
        <f>+LISTADO!$H$7</f>
        <v>Juan Carlos Ramírez / Diego Mesa</v>
      </c>
      <c r="D86" s="51" t="s">
        <v>141</v>
      </c>
      <c r="E86" s="51" t="s">
        <v>146</v>
      </c>
    </row>
    <row r="87" spans="1:5" ht="60" x14ac:dyDescent="0.25">
      <c r="A87" s="51" t="s">
        <v>140</v>
      </c>
      <c r="B87" s="51" t="s">
        <v>9</v>
      </c>
      <c r="C87" s="51" t="str">
        <f>+LISTADO!$H$7</f>
        <v>Juan Carlos Ramírez / Diego Mesa</v>
      </c>
      <c r="D87" s="51" t="s">
        <v>141</v>
      </c>
      <c r="E87" s="51" t="s">
        <v>147</v>
      </c>
    </row>
    <row r="88" spans="1:5" ht="60" x14ac:dyDescent="0.25">
      <c r="A88" s="51" t="s">
        <v>140</v>
      </c>
      <c r="B88" s="51" t="s">
        <v>9</v>
      </c>
      <c r="C88" s="51" t="str">
        <f>+LISTADO!$H$7</f>
        <v>Juan Carlos Ramírez / Diego Mesa</v>
      </c>
      <c r="D88" s="51" t="s">
        <v>141</v>
      </c>
      <c r="E88" s="51" t="s">
        <v>148</v>
      </c>
    </row>
    <row r="89" spans="1:5" ht="60" x14ac:dyDescent="0.25">
      <c r="A89" s="51" t="s">
        <v>140</v>
      </c>
      <c r="B89" s="51" t="s">
        <v>9</v>
      </c>
      <c r="C89" s="51" t="str">
        <f>+LISTADO!$H$7</f>
        <v>Juan Carlos Ramírez / Diego Mesa</v>
      </c>
      <c r="D89" s="51" t="s">
        <v>141</v>
      </c>
      <c r="E89" s="51" t="s">
        <v>149</v>
      </c>
    </row>
    <row r="90" spans="1:5" ht="60" x14ac:dyDescent="0.25">
      <c r="A90" s="51" t="s">
        <v>140</v>
      </c>
      <c r="B90" s="51" t="s">
        <v>9</v>
      </c>
      <c r="C90" s="51" t="str">
        <f>+LISTADO!$H$7</f>
        <v>Juan Carlos Ramírez / Diego Mesa</v>
      </c>
      <c r="D90" s="51" t="s">
        <v>141</v>
      </c>
      <c r="E90" s="51" t="s">
        <v>150</v>
      </c>
    </row>
    <row r="91" spans="1:5" ht="60" x14ac:dyDescent="0.25">
      <c r="A91" s="51" t="s">
        <v>140</v>
      </c>
      <c r="B91" s="51" t="s">
        <v>9</v>
      </c>
      <c r="C91" s="51" t="str">
        <f>+LISTADO!$H$7</f>
        <v>Juan Carlos Ramírez / Diego Mesa</v>
      </c>
      <c r="D91" s="51" t="s">
        <v>141</v>
      </c>
      <c r="E91" s="51" t="s">
        <v>151</v>
      </c>
    </row>
    <row r="92" spans="1:5" ht="90" x14ac:dyDescent="0.25">
      <c r="A92" s="51" t="s">
        <v>152</v>
      </c>
      <c r="B92" s="51" t="s">
        <v>9</v>
      </c>
      <c r="C92" s="51" t="str">
        <f>+LISTADO!$H$7</f>
        <v>Juan Carlos Ramírez / Diego Mesa</v>
      </c>
      <c r="D92" s="51" t="s">
        <v>153</v>
      </c>
      <c r="E92" s="51" t="s">
        <v>154</v>
      </c>
    </row>
    <row r="93" spans="1:5" ht="90" x14ac:dyDescent="0.25">
      <c r="A93" s="51" t="s">
        <v>152</v>
      </c>
      <c r="B93" s="51" t="s">
        <v>9</v>
      </c>
      <c r="C93" s="51" t="str">
        <f>+LISTADO!$H$7</f>
        <v>Juan Carlos Ramírez / Diego Mesa</v>
      </c>
      <c r="D93" s="51" t="s">
        <v>153</v>
      </c>
      <c r="E93" s="51" t="s">
        <v>155</v>
      </c>
    </row>
    <row r="94" spans="1:5" ht="90" x14ac:dyDescent="0.25">
      <c r="A94" s="51" t="s">
        <v>152</v>
      </c>
      <c r="B94" s="51" t="s">
        <v>9</v>
      </c>
      <c r="C94" s="51" t="str">
        <f>+LISTADO!$H$7</f>
        <v>Juan Carlos Ramírez / Diego Mesa</v>
      </c>
      <c r="D94" s="51" t="s">
        <v>153</v>
      </c>
      <c r="E94" s="51" t="s">
        <v>156</v>
      </c>
    </row>
    <row r="95" spans="1:5" ht="90" x14ac:dyDescent="0.25">
      <c r="A95" s="51" t="s">
        <v>152</v>
      </c>
      <c r="B95" s="51" t="s">
        <v>9</v>
      </c>
      <c r="C95" s="51" t="str">
        <f>+LISTADO!$H$7</f>
        <v>Juan Carlos Ramírez / Diego Mesa</v>
      </c>
      <c r="D95" s="51" t="s">
        <v>153</v>
      </c>
      <c r="E95" s="51" t="s">
        <v>157</v>
      </c>
    </row>
    <row r="96" spans="1:5" ht="90" x14ac:dyDescent="0.25">
      <c r="A96" s="51" t="s">
        <v>152</v>
      </c>
      <c r="B96" s="51" t="s">
        <v>9</v>
      </c>
      <c r="C96" s="51" t="str">
        <f>+LISTADO!$H$7</f>
        <v>Juan Carlos Ramírez / Diego Mesa</v>
      </c>
      <c r="D96" s="51" t="s">
        <v>153</v>
      </c>
      <c r="E96" s="51" t="s">
        <v>158</v>
      </c>
    </row>
    <row r="97" spans="1:5" ht="90" x14ac:dyDescent="0.25">
      <c r="A97" s="51" t="s">
        <v>152</v>
      </c>
      <c r="B97" s="51" t="s">
        <v>9</v>
      </c>
      <c r="C97" s="51" t="str">
        <f>+LISTADO!$H$7</f>
        <v>Juan Carlos Ramírez / Diego Mesa</v>
      </c>
      <c r="D97" s="51" t="s">
        <v>153</v>
      </c>
      <c r="E97" s="51" t="s">
        <v>159</v>
      </c>
    </row>
    <row r="98" spans="1:5" ht="90" x14ac:dyDescent="0.25">
      <c r="A98" s="51" t="s">
        <v>152</v>
      </c>
      <c r="B98" s="51" t="s">
        <v>9</v>
      </c>
      <c r="C98" s="51" t="str">
        <f>+LISTADO!$H$7</f>
        <v>Juan Carlos Ramírez / Diego Mesa</v>
      </c>
      <c r="D98" s="51" t="s">
        <v>153</v>
      </c>
      <c r="E98" s="51" t="s">
        <v>160</v>
      </c>
    </row>
    <row r="99" spans="1:5" ht="90" x14ac:dyDescent="0.25">
      <c r="A99" s="51" t="s">
        <v>152</v>
      </c>
      <c r="B99" s="51" t="s">
        <v>9</v>
      </c>
      <c r="C99" s="51" t="str">
        <f>+LISTADO!$H$7</f>
        <v>Juan Carlos Ramírez / Diego Mesa</v>
      </c>
      <c r="D99" s="51" t="s">
        <v>153</v>
      </c>
      <c r="E99" s="51" t="s">
        <v>161</v>
      </c>
    </row>
    <row r="100" spans="1:5" ht="90" x14ac:dyDescent="0.25">
      <c r="A100" s="51" t="s">
        <v>152</v>
      </c>
      <c r="B100" s="51" t="s">
        <v>9</v>
      </c>
      <c r="C100" s="51" t="str">
        <f>+LISTADO!$H$7</f>
        <v>Juan Carlos Ramírez / Diego Mesa</v>
      </c>
      <c r="D100" s="51" t="s">
        <v>153</v>
      </c>
      <c r="E100" s="51" t="s">
        <v>162</v>
      </c>
    </row>
    <row r="101" spans="1:5" ht="90" x14ac:dyDescent="0.25">
      <c r="A101" s="51" t="s">
        <v>152</v>
      </c>
      <c r="B101" s="51" t="s">
        <v>9</v>
      </c>
      <c r="C101" s="51" t="str">
        <f>+LISTADO!$H$7</f>
        <v>Juan Carlos Ramírez / Diego Mesa</v>
      </c>
      <c r="D101" s="51" t="s">
        <v>153</v>
      </c>
      <c r="E101" s="51" t="s">
        <v>163</v>
      </c>
    </row>
    <row r="102" spans="1:5" ht="60" x14ac:dyDescent="0.25">
      <c r="A102" s="51" t="s">
        <v>164</v>
      </c>
      <c r="B102" s="51" t="s">
        <v>9</v>
      </c>
      <c r="C102" s="51" t="str">
        <f>+LISTADO!$H$7</f>
        <v>Juan Carlos Ramírez / Diego Mesa</v>
      </c>
      <c r="D102" s="51" t="s">
        <v>165</v>
      </c>
      <c r="E102" s="51" t="s">
        <v>166</v>
      </c>
    </row>
    <row r="103" spans="1:5" ht="60" x14ac:dyDescent="0.25">
      <c r="A103" s="51" t="s">
        <v>164</v>
      </c>
      <c r="B103" s="51" t="s">
        <v>9</v>
      </c>
      <c r="C103" s="51" t="str">
        <f>+LISTADO!$H$7</f>
        <v>Juan Carlos Ramírez / Diego Mesa</v>
      </c>
      <c r="D103" s="51" t="s">
        <v>165</v>
      </c>
      <c r="E103" s="51" t="s">
        <v>167</v>
      </c>
    </row>
    <row r="104" spans="1:5" ht="60" x14ac:dyDescent="0.25">
      <c r="A104" s="51" t="s">
        <v>164</v>
      </c>
      <c r="B104" s="51" t="s">
        <v>9</v>
      </c>
      <c r="C104" s="51" t="str">
        <f>+LISTADO!$H$7</f>
        <v>Juan Carlos Ramírez / Diego Mesa</v>
      </c>
      <c r="D104" s="51" t="s">
        <v>165</v>
      </c>
      <c r="E104" s="51" t="s">
        <v>168</v>
      </c>
    </row>
    <row r="105" spans="1:5" ht="45" x14ac:dyDescent="0.25">
      <c r="A105" s="51" t="s">
        <v>164</v>
      </c>
      <c r="B105" s="51" t="s">
        <v>9</v>
      </c>
      <c r="C105" s="51" t="str">
        <f>+LISTADO!$H$7</f>
        <v>Juan Carlos Ramírez / Diego Mesa</v>
      </c>
      <c r="D105" s="51" t="s">
        <v>165</v>
      </c>
      <c r="E105" s="51" t="s">
        <v>169</v>
      </c>
    </row>
    <row r="106" spans="1:5" ht="45" x14ac:dyDescent="0.25">
      <c r="A106" s="51" t="s">
        <v>164</v>
      </c>
      <c r="B106" s="51" t="s">
        <v>9</v>
      </c>
      <c r="C106" s="51" t="str">
        <f>+LISTADO!$H$7</f>
        <v>Juan Carlos Ramírez / Diego Mesa</v>
      </c>
      <c r="D106" s="51" t="s">
        <v>165</v>
      </c>
      <c r="E106" s="51" t="s">
        <v>170</v>
      </c>
    </row>
    <row r="107" spans="1:5" ht="45" x14ac:dyDescent="0.25">
      <c r="A107" s="51" t="s">
        <v>164</v>
      </c>
      <c r="B107" s="51" t="s">
        <v>9</v>
      </c>
      <c r="C107" s="51" t="str">
        <f>+LISTADO!$H$7</f>
        <v>Juan Carlos Ramírez / Diego Mesa</v>
      </c>
      <c r="D107" s="51" t="s">
        <v>165</v>
      </c>
      <c r="E107" s="51" t="s">
        <v>171</v>
      </c>
    </row>
    <row r="108" spans="1:5" ht="45" x14ac:dyDescent="0.25">
      <c r="A108" s="51" t="s">
        <v>164</v>
      </c>
      <c r="B108" s="51" t="s">
        <v>9</v>
      </c>
      <c r="C108" s="51" t="str">
        <f>+LISTADO!$H$7</f>
        <v>Juan Carlos Ramírez / Diego Mesa</v>
      </c>
      <c r="D108" s="51" t="s">
        <v>165</v>
      </c>
      <c r="E108" s="51" t="s">
        <v>172</v>
      </c>
    </row>
    <row r="109" spans="1:5" ht="45" x14ac:dyDescent="0.25">
      <c r="A109" s="51" t="s">
        <v>164</v>
      </c>
      <c r="B109" s="51" t="s">
        <v>9</v>
      </c>
      <c r="C109" s="51" t="str">
        <f>+LISTADO!$H$7</f>
        <v>Juan Carlos Ramírez / Diego Mesa</v>
      </c>
      <c r="D109" s="51" t="s">
        <v>165</v>
      </c>
      <c r="E109" s="51" t="s">
        <v>173</v>
      </c>
    </row>
    <row r="110" spans="1:5" ht="45" x14ac:dyDescent="0.25">
      <c r="A110" s="51" t="s">
        <v>164</v>
      </c>
      <c r="B110" s="51" t="s">
        <v>9</v>
      </c>
      <c r="C110" s="51" t="str">
        <f>+LISTADO!$H$7</f>
        <v>Juan Carlos Ramírez / Diego Mesa</v>
      </c>
      <c r="D110" s="51" t="s">
        <v>165</v>
      </c>
      <c r="E110" s="51" t="s">
        <v>174</v>
      </c>
    </row>
    <row r="111" spans="1:5" ht="45" x14ac:dyDescent="0.25">
      <c r="A111" s="51" t="s">
        <v>164</v>
      </c>
      <c r="B111" s="51" t="s">
        <v>9</v>
      </c>
      <c r="C111" s="51" t="str">
        <f>+LISTADO!$H$7</f>
        <v>Juan Carlos Ramírez / Diego Mesa</v>
      </c>
      <c r="D111" s="51" t="s">
        <v>165</v>
      </c>
      <c r="E111" s="51" t="s">
        <v>175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LISTADO</vt:lpstr>
      <vt:lpstr>Banco 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yesidrf@gmail.com</dc:creator>
  <cp:lastModifiedBy>Luis Octavio Arango Colorado</cp:lastModifiedBy>
  <dcterms:created xsi:type="dcterms:W3CDTF">2014-06-17T13:38:35Z</dcterms:created>
  <dcterms:modified xsi:type="dcterms:W3CDTF">2026-06-30T11:17:34Z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0x0101005529915A2A907943A8652EDE50EB40DA</vt:lpwstr>
  </property>
  <property fmtid="{D5CDD505-2E9C-101B-9397-08002B2CF9AE}" pid="3" name="Order">
    <vt:r8>3300</vt:r8>
  </property>
  <property fmtid="{D5CDD505-2E9C-101B-9397-08002B2CF9AE}" pid="4" name="MediaServiceImageTags">
    <vt:lpwstr/>
  </property>
</Properties>
</file>
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4" documentId="11_541EFADCED95AC2729AF7BA0FDDD9A4255D66552" xr6:coauthVersionLast="47" xr6:coauthVersionMax="47" xr10:uidLastSave="{41B8EEE6-4434-48AF-B37D-4F017370866F}"/>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<sst xmlns="http://schemas.openxmlformats.org/spreadsheetml/2006/main" count="285" uniqueCount="117">
  <si>
    <t xml:space="preserve">CI COLOMBIAN MINT </t>
  </si>
  <si>
    <t>Codigo: GMC-FR08</t>
  </si>
  <si>
    <t xml:space="preserve">   LISTADO DE VERIFICACION </t>
  </si>
  <si>
    <t>Versión:1</t>
  </si>
  <si>
    <t>Fecha de aprobación: 
01/07/2021</t>
  </si>
  <si>
    <t>1. PLANIFICACIÓN DE LA AUDITORIA</t>
  </si>
  <si>
    <t xml:space="preserve">FECHA </t>
  </si>
  <si>
    <t>2026-07-10</t>
  </si>
  <si>
    <t>PROCESO</t>
  </si>
  <si>
    <t>GEX GESTION EXPORTACIONES</t>
  </si>
  <si>
    <t xml:space="preserve">AUDITOR </t>
  </si>
  <si>
    <t>Erika Mesa / Jimena Zuluaga</t>
  </si>
  <si>
    <t>AUDITADO</t>
  </si>
  <si>
    <t>Iván Arias / Dairy Mosquera / Jefferson González</t>
  </si>
  <si>
    <t>DOCUMENTOS RELACIONADOS</t>
  </si>
  <si>
    <t>GMC-FR07 Plan Auditorías 2026 · Res. 015/2016 Art. 4º · GMC-FR08</t>
  </si>
  <si>
    <t>REQUISITOS</t>
  </si>
  <si>
    <t>OEA 6.3, OEA 6.7, OEA 6.8, OEA 6.9, OEA 6.10, OEA 6.11</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</si>
  <si>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</si>
  <si>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</si>
  <si>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</si>
  <si>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</si>
  <si>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</si>
  <si>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</si>
  <si>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</si>
  <si>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</si>
  <si>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</si>
  <si>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</si>
  <si>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</si>
  <si>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</si>
  <si>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</si>
  <si>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</si>
  <si>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</si>
  <si>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</si>
  <si>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</si>
  <si>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</si>
  <si>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</si>
  <si>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</si>
  <si>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</si>
  <si>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</si>
  <si>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</si>
  <si>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</si>
  <si>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</si>
  <si>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</si>
  <si>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</si>
  <si>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6.3</t>
  </si>
  <si>
    <t>Debe tener herramientas que le permitan garantizar la trazabilidad de la carga y del vehículo que la transporta desde el punto de llenado hasta el puerto de embarque al exterior.</t>
  </si>
  <si>
    <t>¿Mencione las herramientas que le permiten controlar la trazabilidad de la carga, la ubicación física y la trayectoria de las mercancías a lo largo de la cadena de suministro, desde el punto de llenado hasta el puerto de embarque hacia el exterior; este seguimiento debe realizarse sin considerar los términos Incoterms aplicados en la negociación comercial. Para sustentar, presente evidencia documental vigente de Colombian Mint, tales como: GEX-PR03 (Cadena de Suministro Internacional Exportaciones e Importaciones), GEX-FR01 (Control Trazabilidad de Exportaciones)?</t>
  </si>
  <si>
    <t>¿Cuáles son los formatos, registros, sistemas informáticos y/o mecanismos implementados, para garantizar la trazabilidad de la carga en tiempo real. ¿Qué registros o documentos (GEX-FR01 (Control Trazabilidad de Exportaciones), GEX-PR01 (Procedimiento Gestión de exportación doré)) demuestran el cumplimiento de lo solicitado?</t>
  </si>
  <si>
    <t>¿Cuenta con un documento(s), procedimiento(s), instructivo(s), manual(es) con la instrucción para realizar la trazabilidad de la carga, quien, como, cuando y con qué frecuencia se supervisa la operación de comercio exterior? Indique la ubicación en el documento (numeral, ítem, párrafos, página, etc.) Indique versión, fecha e identificación en el SGD. Para sustentar, presente evidencia documental vigente de Colombian Mint, tales como: GEX-PR01 (Procedimiento Gestión de exportación doré), GEX-PR02 (Procedimiento Gestión de exportación concentrados)?</t>
  </si>
  <si>
    <t>¿Cargue las evidencias de implementación (Ej. Registro fotográfico, listas de chequeo, Reporte de rastreo, correos electrónicos, capturas de pantalla, reporte de escoltas, registro del sistema informático, contrato con la transportadora y/o de sellos satelitales, cláusulas de seguridad, acuerdos, SOP etc.).". ¿Qué registros o documentos (GPC-PR03 (Procedimiento para la Gestión de Servicios con la Transportadora de Va), GEX-PR01 (Procedimiento Gestión de exportación doré)) demuestran el cumplimiento de lo solicitado?</t>
  </si>
  <si>
    <t>¿según criterios de auditoría OEA (ISO 19011) para el requisito OEA 6.3: Sistema de seguimiento logístico. ¿Qué evidencia objetiva presenta el auditado? Documentos de referencia: GEX-PR01 (Procedimiento Gestión de exportación doré), GEX-PR02 (Procedimiento Gestión de exportación concentrados)?</t>
  </si>
  <si>
    <t>¿según criterios de auditoría OEA (ISO 19011) para el requisito OEA 6.3: Formatos de trazabilidad (física o digital). ¿Qué evidencia objetiva presenta el auditado? Documentos de referencia: GEX-FR01 (Control Trazabilidad de Exportaciones), GEX-PR01 (Procedimiento Gestión de exportación doré)?</t>
  </si>
  <si>
    <t>¿Verifique el documento SRF-GU13 (Guía estudio ruta Cartagena). ¿Está vigente, identificado en el SGD, aprobado por la autoridad competente y en aplicación para el requisito OEA 6.3?</t>
  </si>
  <si>
    <t>¿en la auditoría ARCA (marzo 2025) se registró respecto a OEA 6.3: "En el procedimiento gestión de exportación Doré se establece en la actividad 7 los documento como". ¿Cuál es el estado actual de las acciones correctivas y su verificación efectiva? Evidencia de cierre sugerida: GEX-PR01 (Procedimiento Gestión de exportación doré)?</t>
  </si>
  <si>
    <t>¿El requisito OEA 6.3 exige: "Debe tener herramientas que le permitan garantizar la trazabilidad de la carga y del vehículo que la transporta desde el punto de llenado hasta el puerto de embarque al exterior." ¿Qué controles operativos y registros demuestran su cumplimiento sostenido en Colombian Mint?</t>
  </si>
  <si>
    <t>¿El personal entrevistado conoce los requisitos de OEA 6.3 y su responsabilidad en el cumplimiento? Solicite evidencia de socialización, inducción o capacitación?</t>
  </si>
  <si>
    <t>OEA 6.7</t>
  </si>
  <si>
    <t>Tener procedimientos documentados para garantizar que la información de despacho o recepción de carga sea veraz, legible y que se cuente con ella antes que se reciba efectivamente la carga. Así mismo que dicha información esté protegida contra cambios, pérdidas o introducción de datos erróneos.</t>
  </si>
  <si>
    <t>¿Mencione el documento(s), procedimiento(s), instructivo(s), manual(es) que la documentación y la información cumplen con las condiciones solicitadas en el requisito. Indique la ubicación en el documento (numeral, ítem, párrafos, página, etc.) Indique versión, fecha e identificación en el SGD. Para sustentar, presente evidencia documental vigente de Colombian Mint, tales como: GEX-PR01 (Procedimiento Gestión de exportación doré), GEX-PR02 (Procedimiento Gestión de exportación concentrados)?</t>
  </si>
  <si>
    <t>¿Cuenta con formato(s) o registro(s) para documentar el cumplimiento de las medidas adoptadas? Indique versión, fecha e identificación en el SGD. Para sustentar, presente evidencia documental vigente de Colombian Mint, tales como: GEX-PR01 (Procedimiento Gestión de exportación doré), GEX-PR02 (Procedimiento Gestión de exportación concentrados)?</t>
  </si>
  <si>
    <t>¿Utiliza algún mecanismo o medio electrónico para proteger la información contra cambios, pérdidas o introducción de datos erróneos? Mencionar. ¿Qué registros o documentos (GEX-PR01 (Procedimiento Gestión de exportación doré), GEX-PR02 (Procedimiento Gestión de exportación concentrados)) demuestran el cumplimiento de lo solicitado?</t>
  </si>
  <si>
    <t>¿Cargue las evidencias de implementación (Ej. Procedimiento(s), instructivo(s), manual(es), formato o lista de chequeo de verificación, medios electrónicos con controles de acceso y modificación, archivos en PDF, check list de comparación con documentos físicos originales o con fuentes oficiales (certificados de origen y otros), captura de pantalla del sistema, etc.). Para sustentar, presente evidencia documental vigente de Colombian Mint, tales como: GEX-PR01 (Procedimiento Gestión de exportación doré), GEX-PR02 (Procedimiento Gestión de exportación concentrados)?</t>
  </si>
  <si>
    <t>¿según criterios de auditoría OEA (ISO 19011) para el requisito OEA 6.7: Procedimiento de revisión y control de recepción. ¿Qué evidencia objetiva presenta el auditado? Documentos de referencia: GEX-PR01 (Procedimiento Gestión de exportación doré), GEX-PR02 (Procedimiento Gestión de exportación concentrados)?</t>
  </si>
  <si>
    <t>¿según criterios de auditoría OEA (ISO 19011) para el requisito OEA 6.7: Lista de chequeo de inspección. ¿Qué evidencia objetiva presenta el auditado? Documentos de referencia: GEX-FR11 (Lista de Empaque Barras), GEX-FR16 (Lista de Empaque Concentrados Oro - Plata)?</t>
  </si>
  <si>
    <t>¿según criterios de auditoría OEA (ISO 19011) para el requisito OEA 6.7: 1. Registros de Producción: Órdenes de producción, registros de pesaje, resultados de laboratorio (análisis de pureza) y registros del marcado de las barras (consecutivo, peso). ¿Qué evidencia objetiva presenta el auditado? Documentos de referencia: GEX-FR11 (Lista de Empaque Barras), GEX-FR13 (Certificado de Análisis)?</t>
  </si>
  <si>
    <t>¿Verifique el documento GEX-FR15 (Certificate of Origin). ¿Está vigente, identificado en el SGD, aprobado por la autoridad competente y en aplicación para el requisito OEA 6.7?</t>
  </si>
  <si>
    <t>¿en la auditoría ARCA (marzo 2025) se registró respecto a OEA 6.7: "En la revisión de los procedimientos de exportación de la compañía se evidencia que se cuenta con la actividad 15 de verificación de la información previo al envío a la agencia de aduanas, sin embargo, no se tiene soport". ¿Cuál es el estado actual de las acciones correctivas y su verificación efectiva? Evidencia de cierre sugerida: GEX-PR01 (Procedimiento Gestión de exportación doré)?</t>
  </si>
  <si>
    <t>¿El requisito OEA 6.7 exige: "Tener procedimientos documentados para garantizar que la información de despacho o recepción de carga sea veraz, legible y que se cuente con ella antes que se reciba efectivamente ." ¿Qué controles operativos y registros demuestran su cumplimiento sostenido en Colombian Mint?</t>
  </si>
  <si>
    <t>OEA 6.8</t>
  </si>
  <si>
    <t>Tener procedimientos documentados para el control y seguimiento de sus operaciones de aduana, garantizando veracidad y una correcta presentación y trámite de sus declaraciones y de sus demás actuaciones ante la autoridad aduanera.</t>
  </si>
  <si>
    <t>¿Son declarantes directos. ¿Qué registros o documentos (GEX-PR01 (Procedimiento Gestión de exportación doré), GEX-PR02 (Procedimiento Gestión de exportación concentrados)) demuestran el cumplimiento de lo solicitado?</t>
  </si>
  <si>
    <t>¿Mencione el documento(s), procedimiento(s), instructivo(s), manual(es), en donde se describen los mecanismos de control y seguimiento de sus operaciones aduaneras, para garantizar veracidad y correcta presentación y tramite de sus declaraciones y sus demás actuaciones ante la autoridad aduanera, debe estar acorde a lo reglamentado por la legislación aduanera legal vigente, e incluya revisión de los documentos soportes de la operación como: factura comercial, lista de empaque, documento de transporte, Solicitud de Autorización de Embarque (SAE), Declaración de Exportación (DEX), entre otros. Debe describir como se realiza dicha revisión, responsable de ejecución y soportes y/o evidencias que respaldan la actividad. Indique la ubicación en el documento (numeral, ítem, párrafos, página, etc.) Indique versión, fecha e identificación en el SGD. Para sustentar, presente evidencia documental vigente de Colombian Mint, tales como: GEX-PR01 (Procedimiento Gestión de exportación doré), GEX-PR02 (Procedimiento Gestión de exportación concentrados)?</t>
  </si>
  <si>
    <t>¿cuenta con formato(s), registro(s), sistemas informáticos y/o mecanismos implementados, para documentar el seguimiento y garantizar el control requerido. Indique versión, fecha e identificación en el SGD. Para sustentar, presente evidencia documental vigente de Colombian Mint, tales como: GEX-FR06 (Estado de Formularios Cambiarios y Control), GEX-FR17 (Control Cambiario)?</t>
  </si>
  <si>
    <t>¿En caso de haber sido objeto de sanción en el régimen de Exportación ¿cuál ha sido la acción de mejora para evitar la reincidencia. ¿Qué registros o documentos (GEX-PR01 (Procedimiento Gestión de exportación doré), GEX-PR02 (Procedimiento Gestión de exportación concentrados)) demuestran el cumplimiento de lo solicitado?</t>
  </si>
  <si>
    <t>¿Cargue las evidencias de implementación (Ej. Procedimiento(s), instructivo(s), manual(es), formato o listas de chequeo de verificación, mandato, clausula, acuerdos, SOP, registro de aplicación del control, captura de pantalla, correos, capacitaciones, etc.). Para sustentar, presente evidencia documental vigente de Colombian Mint, tales como: GEX-PR01 (Procedimiento Gestión de exportación doré), GEX-PR02 (Procedimiento Gestión de exportación concentrados)?</t>
  </si>
  <si>
    <t>¿según criterios de auditoría OEA (ISO 19011) para el requisito OEA 6.8: Política de seguridad física. ¿Qué evidencia objetiva presenta el auditado? Documentos de referencia: GEX-PR01 (Procedimiento Gestión de exportación doré), GEX-PR02 (Procedimiento Gestión de exportación concentrados)?</t>
  </si>
  <si>
    <t>¿Verifique el documento GEX-GU01 (Guía para la Generación del CP). ¿Está vigente, identificado en el SGD, aprobado por la autoridad competente y en aplicación para el requisito OEA 6.8?</t>
  </si>
  <si>
    <t>¿El requisito OEA 6.8 exige: "Tener procedimientos documentados para el control y seguimiento de sus operaciones de aduana, garantizando veracidad y una correcta presentación y trámite de sus declaraciones y de." ¿Qué controles operativos y registros demuestran su cumplimiento sostenido en Colombian Mint?</t>
  </si>
  <si>
    <t>¿Presente el GEX-GU02 y sus registros asociados. ¿Con qué periodicidad se actualiza, quién es el responsable y cómo se evidencia su aplicación al requisito OEA 6.8?</t>
  </si>
  <si>
    <t>¿El personal entrevistado conoce los requisitos de OEA 6.8 y su responsabilidad en el cumplimiento? Solicite evidencia de socialización, inducción o capacitación?</t>
  </si>
  <si>
    <t>OEA 6.9</t>
  </si>
  <si>
    <t>Tener procedimientos documentados para detectar y tomar las acciones necesarias en caso de faltantes, sobrantes o cualquier otra discrepancia o irregularidad en la carga.</t>
  </si>
  <si>
    <t>¿Mencione el documento(s), procedimiento(s), instructivo(s), manual(es) para detectar y actuar en caso de faltantes, sobrantes o cualquier otra discrepancia o irregularidad en la carga, debe estar acorde a lo reglamentado por la legislación aduanera legal vigente. Indique la ubicación en el documento (numeral, ítem, párrafos, página, etc.) Indique versión, fecha e identificación en el SGD. Para sustentar, presente evidencia documental vigente de Colombian Mint, tales como: GEX-GU05 (Guía Faltantes Sobrantes y/o Discrepancia de la Mercancía), GEX-PR01 (Procedimiento Gestión de exportación doré)?</t>
  </si>
  <si>
    <t>¿Mencione el formato(s), registro(s), sistemas informáticos y/o mecanismos implementados, resultante de la detección y acción en los casos de faltantes, sobrantes o cualquier discrepancia o irregularidad en la carga que se presenten. Indique versión, fecha e identificación en el SGD. Para sustentar, presente evidencia documental vigente de Colombian Mint, tales como: GEX-GU05 (Guía Faltantes Sobrantes y/o Discrepancia de la Mercancía), GCV-GU01 (Protocolo de Gestión de Discrepancias)?</t>
  </si>
  <si>
    <t>¿En caso de tener tercerizado el proceso de almacenamiento, cargue y despacho de mercancías objeto de exportación, ¿Cuenta o conoce cuales son las medidas adoptadas para el tratamiento de estas situaciones, así mismo, estas deben estar alineadas con la normatividad aduanera legal vigente? indique en el documento de su asociado de negocio, la ubicación del documento (numeral, ítem, párrafos, página, etc.). Para sustentar, presente evidencia documental vigente de Colombian Mint, tales como: GEX-PR01 (Procedimiento Gestión de exportación doré), GEX-PR02 (Procedimiento Gestión de exportación concentrados)?</t>
  </si>
  <si>
    <t>¿En caso de haberse presentado faltantes, sobrantes o irregularidad en la carga, con posterioridad a la autorización o a la última revalidación, aporte 1 evidencia de esta situación y el tratamiento dado. ¿Qué registros o documentos (GEX-GU05 (Guía Faltantes Sobrantes y/o Discrepancia de la Mercancía), GCV-GU01 (Protocolo de Gestión de Discrepancias)) demuestran el cumplimiento de lo solicitado?</t>
  </si>
  <si>
    <t>¿Relacione las evidencias de implementación (Ej. Procedimiento(s), instructivo(s), manual(es), formato o lista de chequeo de verificación, planilla de traslado, cláusulas, acuerdos, SOP, captura de pantalla, correos, capacitaciones, etc.). Para sustentar, presente evidencia documental vigente de Colombian Mint, tales como: GEX-PR01 (Procedimiento Gestión de exportación doré), GEX-PR02 (Procedimiento Gestión de exportación concentrados)?</t>
  </si>
  <si>
    <t>¿según criterios de auditoría OEA (ISO 19011) para el requisito OEA 6.9: Formatos oficiales de documentos de despacho. ¿Qué evidencia objetiva presenta el auditado? Documentos de referencia: GCV-GU01 (Protocolo de Gestión de Discrepancias), GEX-PR01 (Procedimiento Gestión de exportación doré)?</t>
  </si>
  <si>
    <t>¿según criterios de auditoría OEA (ISO 19011) para el requisito OEA 6.9: Control de acceso a información sensible. ¿Qué evidencia objetiva presenta el auditado? Documentos de referencia: GEX-FR01 (Control Trazabilidad de Exportaciones), GCV-GU01 (Protocolo de Gestión de Discrepancias)?</t>
  </si>
  <si>
    <t>¿en la auditoría ARCA (marzo 2025) se registró respecto a OEA 6.9: "GEX-GU05 Guía de faltantes y sobrantes se encuentra desactualizado para el proceso de concentrados ya que no refleja las etapas y condiciones en las cuales puede variar el peso de la". ¿Cuál es el estado actual de las acciones correctivas y su verificación efectiva? Evidencia de cierre sugerida: GEX-GU05 (Guía Faltantes Sobrantes y/o Discrepancia de la Mercancía)?</t>
  </si>
  <si>
    <t>¿El requisito OEA 6.9 exige: "Tener procedimientos documentados para detectar y tomar las acciones necesarias en caso de faltantes, sobrantes o cualquier otra discrepancia o irregularidad en la carga." ¿Qué controles operativos y registros demuestran su cumplimiento sostenido en Colombian Mint?</t>
  </si>
  <si>
    <t>¿El personal entrevistado conoce los requisitos de OEA 6.9 y su responsabilidad en el cumplimiento? Solicite evidencia de socialización, inducción o capacitación?</t>
  </si>
  <si>
    <t>OEA 6.10</t>
  </si>
  <si>
    <t>Tener procedimientos documentados para reportar a la autoridad competente los casos en que se detecten irregularidades o actividades ilegales o sospechosas en sus cadenas de suministro.</t>
  </si>
  <si>
    <t>¿Mencione el documento(s), procedimiento(s), instructivo(s), manual(es) para actuar en caso de detectar irregularidades o actividades ilegales o sospechosas, con asignación de responsables, mecanismos de reporte, medios utilizados. Indique la ubicación en el documento (numeral, ítem, párrafos, página, etc.) Indique versión, fecha e identificación en el SGD. Para sustentar, presente evidencia documental vigente de Colombian Mint, tales como: GCP-GU07 (Procedimiento Señales de Alerta para la Prevención y Detección de Acti), GCP-GU06 (Procedimiento para la detección tratamiento y solución de denuncias)?</t>
  </si>
  <si>
    <t>¿Mencione el directorio para reportar a las autoridades de control con los canales de contacto, el cual debe incluir, nombres de la autoridad, canales de comunicación, responsable. Indique versión, fecha e identificación en el SGD. Para sustentar, presente evidencia documental vigente de Colombian Mint, tales como: GEX-GU03 (Operaciones Sospechosas en la Cadena de Suministro Internacional), GCP-GU07 (Procedimiento Señales de Alerta para la Prevención y Detección de Acti)?</t>
  </si>
  <si>
    <t>¿Indique la ubicación en el texto (numeral, ítem, párrafos etc.) y la identificación con la que se caracteriza en el SGD, en donde se encuentra descrito la obligación de informar a la Subdirección del Operador Económico Autorizado las actividades irregulares, ilegales o sospechosas en su cadena de suministro. Para sustentar, presente evidencia documental vigente de Colombian Mint, tales como: GEX-GU03 (Operaciones Sospechosas en la Cadena de Suministro Internacional), GCP-GU07 (Procedimiento Señales de Alerta para la Prevención y Detección de Acti)?</t>
  </si>
  <si>
    <t>¿En caso de tener tercerizado el proceso de almacenamiento, cargue y despacho de mercancías objeto de exportación, ¿Cuenta o conoce cuales son las medidas adoptadas para el reporte de estas situaciones? Indique en el documento de su asociado de negocio, la ubicación del documento (numeral, ítem, párrafos, página, etc.). Para sustentar, presente evidencia documental vigente de Colombian Mint, tales como: GCP-FR11 (Reporte Interno y Seguimiento de Denuncias), GCP-FR17 (Reporte Interno Operación Inusual y Seguimiento de Señales de Alerta)?</t>
  </si>
  <si>
    <t>¿Relacione las evidencias de implementación (Ej. Procedimiento(s), instructivo(s), manual(es), directorio, evidencia reportes, registro de incidente, reporte ROS, captura de pantalla, correos, socializaciones, acciones de mejora en eventos materializados, etc.). Para sustentar, presente evidencia documental vigente de Colombian Mint, tales como: GCP-GU07 (Procedimiento Señales de Alerta para la Prevención y Detección de Acti), GCP-GU06 (Procedimiento para la detección tratamiento y solución de denuncias)?</t>
  </si>
  <si>
    <t>¿según criterios de auditoría OEA (ISO 19011) para el requisito OEA 6.10: Procedimientos aduaneros internos. ¿Qué evidencia objetiva presenta el auditado? Documentos de referencia: GCP-GU07 (Procedimiento Señales de Alerta para la Prevención y Detección de Acti), GCP-GU06 (Procedimiento para la detección tratamiento y solución de denuncias)?</t>
  </si>
  <si>
    <t>¿según criterios de auditoría OEA (ISO 19011) para el requisito OEA 6.10: Cronograma de cumplimiento de obligaciones. ¿Qué evidencia objetiva presenta el auditado? Documentos de referencia: GEX-GU03 (Operaciones Sospechosas en la Cadena de Suministro Internacional), GCP-GU07 (Procedimiento Señales de Alerta para la Prevención y Detección de Acti)?</t>
  </si>
  <si>
    <t>¿en la auditoría ARCA (marzo 2025) se registró respecto a OEA 6.10: "GEX-GU03 guía operaciones sospechosas, no tiene actualizados los datos de contacto de las autoridades a las que se debe reportar los eventos sospechosos". ¿Cuál es el estado actual de las acciones correctivas y su verificación efectiva? Evidencia de cierre sugerida: GEX-GU03 (Operaciones Sospechosas en la Cadena de Suministro Internacional)?</t>
  </si>
  <si>
    <t>¿El requisito OEA 6.10 exige: "Tener procedimientos documentados para reportar a la autoridad competente los casos en que se detecten irregularidades o actividades ilegales o sospechosas en sus cadenas de sumini." ¿Qué controles operativos y registros demuestran su cumplimiento sostenido en Colombian Mint?</t>
  </si>
  <si>
    <t>¿El personal entrevistado conoce los requisitos de OEA 6.10 y su responsabilidad en el cumplimiento? Solicite evidencia de socialización, inducción o capacitación?</t>
  </si>
  <si>
    <t>OEA 6.11</t>
  </si>
  <si>
    <t>Tener procedimientos documentados para el archivo, almacenamiento y protección de la documentación física y 
electrónica de sus operaciones de su cadena de suministro internacional y su destrucción cuando a ello hubiere lugar.</t>
  </si>
  <si>
    <t>¿Mencione el documento(s), procedimiento(s), instructivo(s), manual(es), donde se describa a detalle como realizan el proceso de archivar, almacenar, proteger y destruir la documental física y/o electrónica de sus cadenas de suministro, debe estar acorde a lo reglamentado por la legislación aduanera legal vigente. Indique la ubicación en el documento (numeral, ítem, párrafos, página, etc.) Indique versión, fecha e identificación en el SGD. Para sustentar, presente evidencia documental vigente de Colombian Mint, tales como: GMC-FR02 (Listado Maestro de Documentos), GCP-GU23 (Política de Gestión Documental)?</t>
  </si>
  <si>
    <t>¿Cuenta con un Listado Maestro, Tabla de Retención Documental o matrices de control? Indique versión, fecha e identificación en el SGD. Para sustentar, presente evidencia documental vigente de Colombian Mint, tales como: GEX-FR07 (Tabla de retención documental), GMC-FR14 (Tabla de retención documental)?</t>
  </si>
  <si>
    <t>¿Cuenta con un sistema informático para alguno de esto procesos, ¿cuál. ¿Qué registros o documentos (GMC-GU01 (Guía para la Elaboración de Información Documentada), GCP-GU23 (Política de Gestión Documental)) demuestran el cumplimiento de lo solicitado?</t>
  </si>
  <si>
    <t>¿si tiene tercerizado este proceso ¿Cuenta con un documento que defina los términos del servicio, responsabilidades, confidencialidad, entre otros. Para sustentar, presente evidencia documental vigente de Colombian Mint, tales como: GMC-GU01 (Guía para la Elaboración de Información Documentada), GMC-FR02 (Listado Maestro de Documentos)?</t>
  </si>
  <si>
    <t>¿Cargue las evidencias de implementación (Ej. Procedimiento(s), instructivo(s), manual(es). registros, acta de eliminación, TRD, matrices, captura de pantalla del sistema informático, correos, cláusulas de seguridad con terceros (operadores de manejo de archivo inactivo), SOP, registro fotográfico, capacitaciones, etc.). Para sustentar, presente evidencia documental vigente de Colombian Mint, tales como: GEX-GU06 (Archivo de Exportaciones), GMC-GU01 (Guía para la Elaboración de Información Documentada)?</t>
  </si>
  <si>
    <t>¿según criterios de auditoría OEA (ISO 19011) para el requisito OEA 6.11: Procedimiento de manejo de discrepancias. ¿Qué evidencia objetiva presenta el auditado? Documentos de referencia: GMC-GU01 (Guía para la Elaboración de Información Documentada), GCP-GU23 (Política de Gestión Documental)?</t>
  </si>
  <si>
    <t>¿en la auditoría ARCA (marzo 2025) se registró respecto a OEA 6.11: "Se cuenta con el procedimiento GEX-GU06 Archivo de exportación, sin embargo, se tienen documentos". ¿Cuál es el estado actual de las acciones correctivas y su verificación efectiva? Evidencia de cierre sugerida: GEX-GU06 (Archivo de Exportaciones)?</t>
  </si>
  <si>
    <t>¿El requisito OEA 6.11 exige: "Tener procedimientos documentados para el archivo, almacenamiento y protección de la documentación física y electrónica de sus operaciones de su cadena de suministro internacional." ¿Qué controles operativos y registros demuestran su cumplimiento sostenido en Colombian Mint?</t>
  </si>
  <si>
    <t>¿El personal entrevistado conoce los requisitos de OEA 6.11 y su responsabilidad en el cumplimiento? Solicite evidencia de socialización, inducción o capacitación?</t>
  </si>
  <si>
    <t>¿Existen indicadores o métricas definidos para verificar la eficacia de los controles del requisito OEA 6.11? Presente resultados del último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</si>
</sst>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numFmt numFmtId="0" formatCode="General"/>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E3FC0-BE6B-49EA-AD69-9BFDBF312C00}" name="Tabla1" displayName="Tabla1" ref="A1:E61" totalsRowShown="0" headerRowDxfId="2" dataDxfId="1" headerRowBorderDxfId="7" tableBorderDxfId="8">
  <autoFilter ref="A1:E61" xr:uid="{7BFE3FC0-BE6B-49EA-AD69-9BFDBF312C00}"/>
  <tableColumns count="5">
    <tableColumn id="1" xr3:uid="{5FA1C94A-2521-40EB-99DD-762A5C5D84AD}" name="Requisito" dataDxfId="6"/>
    <tableColumn id="2" xr3:uid="{6F02AB9D-E0FA-4B6C-805E-DB0374727752}" name="Proceso" dataDxfId="5"/>
    <tableColumn id="3" xr3:uid="{41115FD0-2FF8-4711-8B1F-AAD7627326FF}" name="Responsable" dataDxfId="0">
      <calculatedColumnFormula>+LISTADO!$H$7</calculatedColumnFormula>
    </tableColumn>
    <tableColumn id="4" xr3:uid="{9177835D-F9DE-490D-B681-74C1E3F4D1CB}" name="Descripción del requisito" dataDxfId="4"/>
    <tableColumn id="5" xr3:uid="{4F4234C4-4755-4D31-A7E3-9863CB48A8C6}" name="Preguntas Sugeridas Auditoría Interna" dataDxfId="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opLeftCell="A2" zoomScaleNormal="100" workbookViewId="0">
      <selection activeCell="A10" sqref="A10:L10"/>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1"/>
  <sheetViews>
    <sheetView tabSelected="1" topLeftCell="A36" workbookViewId="0">
      <selection activeCell="D14" sqref="D14"/>
    </sheetView>
  </sheetViews>
  <sheetFormatPr baseColWidth="10" defaultColWidth="9.140625" defaultRowHeight="15" x14ac:dyDescent="0.25"/>
  <cols>
    <col min="1" max="1" width="8.28515625" customWidth="1"/>
    <col min="2" max="2" width="16.85546875" customWidth="1"/>
    <col min="3" max="3" width="27.85546875" customWidth="1"/>
    <col min="4" max="4" width="62.5703125" customWidth="1"/>
    <col min="5" max="5" width="107.5703125" customWidth="1"/>
  </cols>
  <sheetData>
    <row r="1" spans="1:5" ht="24" x14ac:dyDescent="0.25">
      <c r="A1" s="48" t="s">
        <v>40</v>
      </c>
      <c r="B1" s="48" t="s">
        <v>41</v>
      </c>
      <c r="C1" s="48" t="s">
        <v>42</v>
      </c>
      <c r="D1" s="48" t="s">
        <v>43</v>
      </c>
      <c r="E1" s="49" t="s">
        <v>44</v>
      </c>
    </row>
    <row r="2" spans="1:5" ht="75" x14ac:dyDescent="0.25">
      <c r="A2" s="50" t="s">
        <v>45</v>
      </c>
      <c r="B2" s="50" t="s">
        <v>9</v>
      </c>
      <c r="C2" s="50" t="str">
        <f>+LISTADO!$H$7</f>
        <v>Iván Arias / Dairy Mosquera / Jefferson González</v>
      </c>
      <c r="D2" s="50" t="s">
        <v>46</v>
      </c>
      <c r="E2" s="50" t="s">
        <v>47</v>
      </c>
    </row>
    <row r="3" spans="1:5" ht="60" x14ac:dyDescent="0.25">
      <c r="A3" s="50" t="s">
        <v>45</v>
      </c>
      <c r="B3" s="50" t="s">
        <v>9</v>
      </c>
      <c r="C3" s="50" t="str">
        <f>+LISTADO!$H$7</f>
        <v>Iván Arias / Dairy Mosquera / Jefferson González</v>
      </c>
      <c r="D3" s="50" t="s">
        <v>46</v>
      </c>
      <c r="E3" s="50" t="s">
        <v>48</v>
      </c>
    </row>
    <row r="4" spans="1:5" ht="75" x14ac:dyDescent="0.25">
      <c r="A4" s="50" t="s">
        <v>45</v>
      </c>
      <c r="B4" s="50" t="s">
        <v>9</v>
      </c>
      <c r="C4" s="50" t="str">
        <f>+LISTADO!$H$7</f>
        <v>Iván Arias / Dairy Mosquera / Jefferson González</v>
      </c>
      <c r="D4" s="50" t="s">
        <v>46</v>
      </c>
      <c r="E4" s="50" t="s">
        <v>49</v>
      </c>
    </row>
    <row r="5" spans="1:5" ht="75" x14ac:dyDescent="0.25">
      <c r="A5" s="50" t="s">
        <v>45</v>
      </c>
      <c r="B5" s="50" t="s">
        <v>9</v>
      </c>
      <c r="C5" s="50" t="str">
        <f>+LISTADO!$H$7</f>
        <v>Iván Arias / Dairy Mosquera / Jefferson González</v>
      </c>
      <c r="D5" s="50" t="s">
        <v>46</v>
      </c>
      <c r="E5" s="50" t="s">
        <v>50</v>
      </c>
    </row>
    <row r="6" spans="1:5" ht="45" x14ac:dyDescent="0.25">
      <c r="A6" s="50" t="s">
        <v>45</v>
      </c>
      <c r="B6" s="50" t="s">
        <v>9</v>
      </c>
      <c r="C6" s="50" t="str">
        <f>+LISTADO!$H$7</f>
        <v>Iván Arias / Dairy Mosquera / Jefferson González</v>
      </c>
      <c r="D6" s="50" t="s">
        <v>46</v>
      </c>
      <c r="E6" s="50" t="s">
        <v>51</v>
      </c>
    </row>
    <row r="7" spans="1:5" ht="45" x14ac:dyDescent="0.25">
      <c r="A7" s="50" t="s">
        <v>45</v>
      </c>
      <c r="B7" s="50" t="s">
        <v>9</v>
      </c>
      <c r="C7" s="50" t="str">
        <f>+LISTADO!$H$7</f>
        <v>Iván Arias / Dairy Mosquera / Jefferson González</v>
      </c>
      <c r="D7" s="50" t="s">
        <v>46</v>
      </c>
      <c r="E7" s="50" t="s">
        <v>52</v>
      </c>
    </row>
    <row r="8" spans="1:5" ht="45" x14ac:dyDescent="0.25">
      <c r="A8" s="50" t="s">
        <v>45</v>
      </c>
      <c r="B8" s="50" t="s">
        <v>9</v>
      </c>
      <c r="C8" s="50" t="str">
        <f>+LISTADO!$H$7</f>
        <v>Iván Arias / Dairy Mosquera / Jefferson González</v>
      </c>
      <c r="D8" s="50" t="s">
        <v>46</v>
      </c>
      <c r="E8" s="50" t="s">
        <v>53</v>
      </c>
    </row>
    <row r="9" spans="1:5" ht="45" x14ac:dyDescent="0.25">
      <c r="A9" s="50" t="s">
        <v>45</v>
      </c>
      <c r="B9" s="50" t="s">
        <v>9</v>
      </c>
      <c r="C9" s="50" t="str">
        <f>+LISTADO!$H$7</f>
        <v>Iván Arias / Dairy Mosquera / Jefferson González</v>
      </c>
      <c r="D9" s="50" t="s">
        <v>46</v>
      </c>
      <c r="E9" s="50" t="s">
        <v>54</v>
      </c>
    </row>
    <row r="10" spans="1:5" ht="45" x14ac:dyDescent="0.25">
      <c r="A10" s="50" t="s">
        <v>45</v>
      </c>
      <c r="B10" s="50" t="s">
        <v>9</v>
      </c>
      <c r="C10" s="50" t="str">
        <f>+LISTADO!$H$7</f>
        <v>Iván Arias / Dairy Mosquera / Jefferson González</v>
      </c>
      <c r="D10" s="50" t="s">
        <v>46</v>
      </c>
      <c r="E10" s="50" t="s">
        <v>55</v>
      </c>
    </row>
    <row r="11" spans="1:5" ht="45" x14ac:dyDescent="0.25">
      <c r="A11" s="50" t="s">
        <v>45</v>
      </c>
      <c r="B11" s="50" t="s">
        <v>9</v>
      </c>
      <c r="C11" s="50" t="str">
        <f>+LISTADO!$H$7</f>
        <v>Iván Arias / Dairy Mosquera / Jefferson González</v>
      </c>
      <c r="D11" s="50" t="s">
        <v>46</v>
      </c>
      <c r="E11" s="50" t="s">
        <v>56</v>
      </c>
    </row>
    <row r="12" spans="1:5" ht="75" x14ac:dyDescent="0.25">
      <c r="A12" s="50" t="s">
        <v>57</v>
      </c>
      <c r="B12" s="50" t="s">
        <v>9</v>
      </c>
      <c r="C12" s="50" t="str">
        <f>+LISTADO!$H$7</f>
        <v>Iván Arias / Dairy Mosquera / Jefferson González</v>
      </c>
      <c r="D12" s="50" t="s">
        <v>58</v>
      </c>
      <c r="E12" s="50" t="s">
        <v>59</v>
      </c>
    </row>
    <row r="13" spans="1:5" ht="75" x14ac:dyDescent="0.25">
      <c r="A13" s="50" t="s">
        <v>57</v>
      </c>
      <c r="B13" s="50" t="s">
        <v>9</v>
      </c>
      <c r="C13" s="50" t="str">
        <f>+LISTADO!$H$7</f>
        <v>Iván Arias / Dairy Mosquera / Jefferson González</v>
      </c>
      <c r="D13" s="50" t="s">
        <v>58</v>
      </c>
      <c r="E13" s="50" t="s">
        <v>60</v>
      </c>
    </row>
    <row r="14" spans="1:5" ht="75" x14ac:dyDescent="0.25">
      <c r="A14" s="50" t="s">
        <v>57</v>
      </c>
      <c r="B14" s="50" t="s">
        <v>9</v>
      </c>
      <c r="C14" s="50" t="str">
        <f>+LISTADO!$H$7</f>
        <v>Iván Arias / Dairy Mosquera / Jefferson González</v>
      </c>
      <c r="D14" s="50" t="s">
        <v>58</v>
      </c>
      <c r="E14" s="50" t="s">
        <v>61</v>
      </c>
    </row>
    <row r="15" spans="1:5" ht="90" x14ac:dyDescent="0.25">
      <c r="A15" s="50" t="s">
        <v>57</v>
      </c>
      <c r="B15" s="50" t="s">
        <v>9</v>
      </c>
      <c r="C15" s="50" t="str">
        <f>+LISTADO!$H$7</f>
        <v>Iván Arias / Dairy Mosquera / Jefferson González</v>
      </c>
      <c r="D15" s="50" t="s">
        <v>58</v>
      </c>
      <c r="E15" s="50" t="s">
        <v>62</v>
      </c>
    </row>
    <row r="16" spans="1:5" ht="75" x14ac:dyDescent="0.25">
      <c r="A16" s="50" t="s">
        <v>57</v>
      </c>
      <c r="B16" s="50" t="s">
        <v>9</v>
      </c>
      <c r="C16" s="50" t="str">
        <f>+LISTADO!$H$7</f>
        <v>Iván Arias / Dairy Mosquera / Jefferson González</v>
      </c>
      <c r="D16" s="50" t="s">
        <v>58</v>
      </c>
      <c r="E16" s="50" t="s">
        <v>63</v>
      </c>
    </row>
    <row r="17" spans="1:5" ht="75" x14ac:dyDescent="0.25">
      <c r="A17" s="50" t="s">
        <v>57</v>
      </c>
      <c r="B17" s="50" t="s">
        <v>9</v>
      </c>
      <c r="C17" s="50" t="str">
        <f>+LISTADO!$H$7</f>
        <v>Iván Arias / Dairy Mosquera / Jefferson González</v>
      </c>
      <c r="D17" s="50" t="s">
        <v>58</v>
      </c>
      <c r="E17" s="50" t="s">
        <v>64</v>
      </c>
    </row>
    <row r="18" spans="1:5" ht="75" x14ac:dyDescent="0.25">
      <c r="A18" s="50" t="s">
        <v>57</v>
      </c>
      <c r="B18" s="50" t="s">
        <v>9</v>
      </c>
      <c r="C18" s="50" t="str">
        <f>+LISTADO!$H$7</f>
        <v>Iván Arias / Dairy Mosquera / Jefferson González</v>
      </c>
      <c r="D18" s="50" t="s">
        <v>58</v>
      </c>
      <c r="E18" s="50" t="s">
        <v>65</v>
      </c>
    </row>
    <row r="19" spans="1:5" ht="75" x14ac:dyDescent="0.25">
      <c r="A19" s="50" t="s">
        <v>57</v>
      </c>
      <c r="B19" s="50" t="s">
        <v>9</v>
      </c>
      <c r="C19" s="50" t="str">
        <f>+LISTADO!$H$7</f>
        <v>Iván Arias / Dairy Mosquera / Jefferson González</v>
      </c>
      <c r="D19" s="50" t="s">
        <v>58</v>
      </c>
      <c r="E19" s="50" t="s">
        <v>66</v>
      </c>
    </row>
    <row r="20" spans="1:5" ht="75" x14ac:dyDescent="0.25">
      <c r="A20" s="50" t="s">
        <v>57</v>
      </c>
      <c r="B20" s="50" t="s">
        <v>9</v>
      </c>
      <c r="C20" s="50" t="str">
        <f>+LISTADO!$H$7</f>
        <v>Iván Arias / Dairy Mosquera / Jefferson González</v>
      </c>
      <c r="D20" s="50" t="s">
        <v>58</v>
      </c>
      <c r="E20" s="50" t="s">
        <v>67</v>
      </c>
    </row>
    <row r="21" spans="1:5" ht="75" x14ac:dyDescent="0.25">
      <c r="A21" s="50" t="s">
        <v>57</v>
      </c>
      <c r="B21" s="50" t="s">
        <v>9</v>
      </c>
      <c r="C21" s="50" t="str">
        <f>+LISTADO!$H$7</f>
        <v>Iván Arias / Dairy Mosquera / Jefferson González</v>
      </c>
      <c r="D21" s="50" t="s">
        <v>58</v>
      </c>
      <c r="E21" s="50" t="s">
        <v>68</v>
      </c>
    </row>
    <row r="22" spans="1:5" ht="60" x14ac:dyDescent="0.25">
      <c r="A22" s="50" t="s">
        <v>69</v>
      </c>
      <c r="B22" s="50" t="s">
        <v>9</v>
      </c>
      <c r="C22" s="50" t="str">
        <f>+LISTADO!$H$7</f>
        <v>Iván Arias / Dairy Mosquera / Jefferson González</v>
      </c>
      <c r="D22" s="50" t="s">
        <v>70</v>
      </c>
      <c r="E22" s="50" t="s">
        <v>71</v>
      </c>
    </row>
    <row r="23" spans="1:5" ht="150" x14ac:dyDescent="0.25">
      <c r="A23" s="50" t="s">
        <v>69</v>
      </c>
      <c r="B23" s="50" t="s">
        <v>9</v>
      </c>
      <c r="C23" s="50" t="str">
        <f>+LISTADO!$H$7</f>
        <v>Iván Arias / Dairy Mosquera / Jefferson González</v>
      </c>
      <c r="D23" s="50" t="s">
        <v>70</v>
      </c>
      <c r="E23" s="50" t="s">
        <v>72</v>
      </c>
    </row>
    <row r="24" spans="1:5" ht="60" x14ac:dyDescent="0.25">
      <c r="A24" s="50" t="s">
        <v>69</v>
      </c>
      <c r="B24" s="50" t="s">
        <v>9</v>
      </c>
      <c r="C24" s="50" t="str">
        <f>+LISTADO!$H$7</f>
        <v>Iván Arias / Dairy Mosquera / Jefferson González</v>
      </c>
      <c r="D24" s="50" t="s">
        <v>70</v>
      </c>
      <c r="E24" s="50" t="s">
        <v>73</v>
      </c>
    </row>
    <row r="25" spans="1:5" ht="60" x14ac:dyDescent="0.25">
      <c r="A25" s="50" t="s">
        <v>69</v>
      </c>
      <c r="B25" s="50" t="s">
        <v>9</v>
      </c>
      <c r="C25" s="50" t="str">
        <f>+LISTADO!$H$7</f>
        <v>Iván Arias / Dairy Mosquera / Jefferson González</v>
      </c>
      <c r="D25" s="50" t="s">
        <v>70</v>
      </c>
      <c r="E25" s="50" t="s">
        <v>74</v>
      </c>
    </row>
    <row r="26" spans="1:5" ht="75" x14ac:dyDescent="0.25">
      <c r="A26" s="50" t="s">
        <v>69</v>
      </c>
      <c r="B26" s="50" t="s">
        <v>9</v>
      </c>
      <c r="C26" s="50" t="str">
        <f>+LISTADO!$H$7</f>
        <v>Iván Arias / Dairy Mosquera / Jefferson González</v>
      </c>
      <c r="D26" s="50" t="s">
        <v>70</v>
      </c>
      <c r="E26" s="50" t="s">
        <v>75</v>
      </c>
    </row>
    <row r="27" spans="1:5" ht="60" x14ac:dyDescent="0.25">
      <c r="A27" s="50" t="s">
        <v>69</v>
      </c>
      <c r="B27" s="50" t="s">
        <v>9</v>
      </c>
      <c r="C27" s="50" t="str">
        <f>+LISTADO!$H$7</f>
        <v>Iván Arias / Dairy Mosquera / Jefferson González</v>
      </c>
      <c r="D27" s="50" t="s">
        <v>70</v>
      </c>
      <c r="E27" s="50" t="s">
        <v>76</v>
      </c>
    </row>
    <row r="28" spans="1:5" ht="60" x14ac:dyDescent="0.25">
      <c r="A28" s="50" t="s">
        <v>69</v>
      </c>
      <c r="B28" s="50" t="s">
        <v>9</v>
      </c>
      <c r="C28" s="50" t="str">
        <f>+LISTADO!$H$7</f>
        <v>Iván Arias / Dairy Mosquera / Jefferson González</v>
      </c>
      <c r="D28" s="50" t="s">
        <v>70</v>
      </c>
      <c r="E28" s="50" t="s">
        <v>77</v>
      </c>
    </row>
    <row r="29" spans="1:5" ht="60" x14ac:dyDescent="0.25">
      <c r="A29" s="50" t="s">
        <v>69</v>
      </c>
      <c r="B29" s="50" t="s">
        <v>9</v>
      </c>
      <c r="C29" s="50" t="str">
        <f>+LISTADO!$H$7</f>
        <v>Iván Arias / Dairy Mosquera / Jefferson González</v>
      </c>
      <c r="D29" s="50" t="s">
        <v>70</v>
      </c>
      <c r="E29" s="50" t="s">
        <v>78</v>
      </c>
    </row>
    <row r="30" spans="1:5" ht="60" x14ac:dyDescent="0.25">
      <c r="A30" s="50" t="s">
        <v>69</v>
      </c>
      <c r="B30" s="50" t="s">
        <v>9</v>
      </c>
      <c r="C30" s="50" t="str">
        <f>+LISTADO!$H$7</f>
        <v>Iván Arias / Dairy Mosquera / Jefferson González</v>
      </c>
      <c r="D30" s="50" t="s">
        <v>70</v>
      </c>
      <c r="E30" s="50" t="s">
        <v>79</v>
      </c>
    </row>
    <row r="31" spans="1:5" ht="60" x14ac:dyDescent="0.25">
      <c r="A31" s="50" t="s">
        <v>69</v>
      </c>
      <c r="B31" s="50" t="s">
        <v>9</v>
      </c>
      <c r="C31" s="50" t="str">
        <f>+LISTADO!$H$7</f>
        <v>Iván Arias / Dairy Mosquera / Jefferson González</v>
      </c>
      <c r="D31" s="50" t="s">
        <v>70</v>
      </c>
      <c r="E31" s="50" t="s">
        <v>80</v>
      </c>
    </row>
    <row r="32" spans="1:5" ht="90" x14ac:dyDescent="0.25">
      <c r="A32" s="50" t="s">
        <v>81</v>
      </c>
      <c r="B32" s="50" t="s">
        <v>9</v>
      </c>
      <c r="C32" s="50" t="str">
        <f>+LISTADO!$H$7</f>
        <v>Iván Arias / Dairy Mosquera / Jefferson González</v>
      </c>
      <c r="D32" s="50" t="s">
        <v>82</v>
      </c>
      <c r="E32" s="50" t="s">
        <v>83</v>
      </c>
    </row>
    <row r="33" spans="1:5" ht="75" x14ac:dyDescent="0.25">
      <c r="A33" s="50" t="s">
        <v>81</v>
      </c>
      <c r="B33" s="50" t="s">
        <v>9</v>
      </c>
      <c r="C33" s="50" t="str">
        <f>+LISTADO!$H$7</f>
        <v>Iván Arias / Dairy Mosquera / Jefferson González</v>
      </c>
      <c r="D33" s="50" t="s">
        <v>82</v>
      </c>
      <c r="E33" s="50" t="s">
        <v>84</v>
      </c>
    </row>
    <row r="34" spans="1:5" ht="90" x14ac:dyDescent="0.25">
      <c r="A34" s="50" t="s">
        <v>81</v>
      </c>
      <c r="B34" s="50" t="s">
        <v>9</v>
      </c>
      <c r="C34" s="50" t="str">
        <f>+LISTADO!$H$7</f>
        <v>Iván Arias / Dairy Mosquera / Jefferson González</v>
      </c>
      <c r="D34" s="50" t="s">
        <v>82</v>
      </c>
      <c r="E34" s="50" t="s">
        <v>85</v>
      </c>
    </row>
    <row r="35" spans="1:5" ht="60" x14ac:dyDescent="0.25">
      <c r="A35" s="50" t="s">
        <v>81</v>
      </c>
      <c r="B35" s="50" t="s">
        <v>9</v>
      </c>
      <c r="C35" s="50" t="str">
        <f>+LISTADO!$H$7</f>
        <v>Iván Arias / Dairy Mosquera / Jefferson González</v>
      </c>
      <c r="D35" s="50" t="s">
        <v>82</v>
      </c>
      <c r="E35" s="50" t="s">
        <v>86</v>
      </c>
    </row>
    <row r="36" spans="1:5" ht="60" x14ac:dyDescent="0.25">
      <c r="A36" s="50" t="s">
        <v>81</v>
      </c>
      <c r="B36" s="50" t="s">
        <v>9</v>
      </c>
      <c r="C36" s="50" t="str">
        <f>+LISTADO!$H$7</f>
        <v>Iván Arias / Dairy Mosquera / Jefferson González</v>
      </c>
      <c r="D36" s="50" t="s">
        <v>82</v>
      </c>
      <c r="E36" s="50" t="s">
        <v>87</v>
      </c>
    </row>
    <row r="37" spans="1:5" ht="45" x14ac:dyDescent="0.25">
      <c r="A37" s="50" t="s">
        <v>81</v>
      </c>
      <c r="B37" s="50" t="s">
        <v>9</v>
      </c>
      <c r="C37" s="50" t="str">
        <f>+LISTADO!$H$7</f>
        <v>Iván Arias / Dairy Mosquera / Jefferson González</v>
      </c>
      <c r="D37" s="50" t="s">
        <v>82</v>
      </c>
      <c r="E37" s="50" t="s">
        <v>88</v>
      </c>
    </row>
    <row r="38" spans="1:5" ht="45" x14ac:dyDescent="0.25">
      <c r="A38" s="50" t="s">
        <v>81</v>
      </c>
      <c r="B38" s="50" t="s">
        <v>9</v>
      </c>
      <c r="C38" s="50" t="str">
        <f>+LISTADO!$H$7</f>
        <v>Iván Arias / Dairy Mosquera / Jefferson González</v>
      </c>
      <c r="D38" s="50" t="s">
        <v>82</v>
      </c>
      <c r="E38" s="50" t="s">
        <v>89</v>
      </c>
    </row>
    <row r="39" spans="1:5" ht="60" x14ac:dyDescent="0.25">
      <c r="A39" s="50" t="s">
        <v>81</v>
      </c>
      <c r="B39" s="50" t="s">
        <v>9</v>
      </c>
      <c r="C39" s="50" t="str">
        <f>+LISTADO!$H$7</f>
        <v>Iván Arias / Dairy Mosquera / Jefferson González</v>
      </c>
      <c r="D39" s="50" t="s">
        <v>82</v>
      </c>
      <c r="E39" s="50" t="s">
        <v>90</v>
      </c>
    </row>
    <row r="40" spans="1:5" ht="45" x14ac:dyDescent="0.25">
      <c r="A40" s="50" t="s">
        <v>81</v>
      </c>
      <c r="B40" s="50" t="s">
        <v>9</v>
      </c>
      <c r="C40" s="50" t="str">
        <f>+LISTADO!$H$7</f>
        <v>Iván Arias / Dairy Mosquera / Jefferson González</v>
      </c>
      <c r="D40" s="50" t="s">
        <v>82</v>
      </c>
      <c r="E40" s="50" t="s">
        <v>91</v>
      </c>
    </row>
    <row r="41" spans="1:5" ht="45" x14ac:dyDescent="0.25">
      <c r="A41" s="50" t="s">
        <v>81</v>
      </c>
      <c r="B41" s="50" t="s">
        <v>9</v>
      </c>
      <c r="C41" s="50" t="str">
        <f>+LISTADO!$H$7</f>
        <v>Iván Arias / Dairy Mosquera / Jefferson González</v>
      </c>
      <c r="D41" s="50" t="s">
        <v>82</v>
      </c>
      <c r="E41" s="50" t="s">
        <v>92</v>
      </c>
    </row>
    <row r="42" spans="1:5" ht="90" x14ac:dyDescent="0.25">
      <c r="A42" s="50" t="s">
        <v>93</v>
      </c>
      <c r="B42" s="50" t="s">
        <v>9</v>
      </c>
      <c r="C42" s="50" t="str">
        <f>+LISTADO!$H$7</f>
        <v>Iván Arias / Dairy Mosquera / Jefferson González</v>
      </c>
      <c r="D42" s="50" t="s">
        <v>94</v>
      </c>
      <c r="E42" s="50" t="s">
        <v>95</v>
      </c>
    </row>
    <row r="43" spans="1:5" ht="75" x14ac:dyDescent="0.25">
      <c r="A43" s="50" t="s">
        <v>93</v>
      </c>
      <c r="B43" s="50" t="s">
        <v>9</v>
      </c>
      <c r="C43" s="50" t="str">
        <f>+LISTADO!$H$7</f>
        <v>Iván Arias / Dairy Mosquera / Jefferson González</v>
      </c>
      <c r="D43" s="50" t="s">
        <v>94</v>
      </c>
      <c r="E43" s="50" t="s">
        <v>96</v>
      </c>
    </row>
    <row r="44" spans="1:5" ht="75" x14ac:dyDescent="0.25">
      <c r="A44" s="50" t="s">
        <v>93</v>
      </c>
      <c r="B44" s="50" t="s">
        <v>9</v>
      </c>
      <c r="C44" s="50" t="str">
        <f>+LISTADO!$H$7</f>
        <v>Iván Arias / Dairy Mosquera / Jefferson González</v>
      </c>
      <c r="D44" s="50" t="s">
        <v>94</v>
      </c>
      <c r="E44" s="50" t="s">
        <v>97</v>
      </c>
    </row>
    <row r="45" spans="1:5" ht="75" x14ac:dyDescent="0.25">
      <c r="A45" s="50" t="s">
        <v>93</v>
      </c>
      <c r="B45" s="50" t="s">
        <v>9</v>
      </c>
      <c r="C45" s="50" t="str">
        <f>+LISTADO!$H$7</f>
        <v>Iván Arias / Dairy Mosquera / Jefferson González</v>
      </c>
      <c r="D45" s="50" t="s">
        <v>94</v>
      </c>
      <c r="E45" s="50" t="s">
        <v>98</v>
      </c>
    </row>
    <row r="46" spans="1:5" ht="75" x14ac:dyDescent="0.25">
      <c r="A46" s="50" t="s">
        <v>93</v>
      </c>
      <c r="B46" s="50" t="s">
        <v>9</v>
      </c>
      <c r="C46" s="50" t="str">
        <f>+LISTADO!$H$7</f>
        <v>Iván Arias / Dairy Mosquera / Jefferson González</v>
      </c>
      <c r="D46" s="50" t="s">
        <v>94</v>
      </c>
      <c r="E46" s="50" t="s">
        <v>99</v>
      </c>
    </row>
    <row r="47" spans="1:5" ht="60" x14ac:dyDescent="0.25">
      <c r="A47" s="50" t="s">
        <v>93</v>
      </c>
      <c r="B47" s="50" t="s">
        <v>9</v>
      </c>
      <c r="C47" s="50" t="str">
        <f>+LISTADO!$H$7</f>
        <v>Iván Arias / Dairy Mosquera / Jefferson González</v>
      </c>
      <c r="D47" s="50" t="s">
        <v>94</v>
      </c>
      <c r="E47" s="50" t="s">
        <v>100</v>
      </c>
    </row>
    <row r="48" spans="1:5" ht="60" x14ac:dyDescent="0.25">
      <c r="A48" s="50" t="s">
        <v>93</v>
      </c>
      <c r="B48" s="50" t="s">
        <v>9</v>
      </c>
      <c r="C48" s="50" t="str">
        <f>+LISTADO!$H$7</f>
        <v>Iván Arias / Dairy Mosquera / Jefferson González</v>
      </c>
      <c r="D48" s="50" t="s">
        <v>94</v>
      </c>
      <c r="E48" s="50" t="s">
        <v>101</v>
      </c>
    </row>
    <row r="49" spans="1:5" ht="60" x14ac:dyDescent="0.25">
      <c r="A49" s="50" t="s">
        <v>93</v>
      </c>
      <c r="B49" s="50" t="s">
        <v>9</v>
      </c>
      <c r="C49" s="50" t="str">
        <f>+LISTADO!$H$7</f>
        <v>Iván Arias / Dairy Mosquera / Jefferson González</v>
      </c>
      <c r="D49" s="50" t="s">
        <v>94</v>
      </c>
      <c r="E49" s="50" t="s">
        <v>102</v>
      </c>
    </row>
    <row r="50" spans="1:5" ht="45" x14ac:dyDescent="0.25">
      <c r="A50" s="50" t="s">
        <v>93</v>
      </c>
      <c r="B50" s="50" t="s">
        <v>9</v>
      </c>
      <c r="C50" s="50" t="str">
        <f>+LISTADO!$H$7</f>
        <v>Iván Arias / Dairy Mosquera / Jefferson González</v>
      </c>
      <c r="D50" s="50" t="s">
        <v>94</v>
      </c>
      <c r="E50" s="50" t="s">
        <v>103</v>
      </c>
    </row>
    <row r="51" spans="1:5" ht="45" x14ac:dyDescent="0.25">
      <c r="A51" s="50" t="s">
        <v>93</v>
      </c>
      <c r="B51" s="50" t="s">
        <v>9</v>
      </c>
      <c r="C51" s="50" t="str">
        <f>+LISTADO!$H$7</f>
        <v>Iván Arias / Dairy Mosquera / Jefferson González</v>
      </c>
      <c r="D51" s="50" t="s">
        <v>94</v>
      </c>
      <c r="E51" s="50" t="s">
        <v>104</v>
      </c>
    </row>
    <row r="52" spans="1:5" ht="90" x14ac:dyDescent="0.25">
      <c r="A52" s="50" t="s">
        <v>105</v>
      </c>
      <c r="B52" s="50" t="s">
        <v>9</v>
      </c>
      <c r="C52" s="50" t="str">
        <f>+LISTADO!$H$7</f>
        <v>Iván Arias / Dairy Mosquera / Jefferson González</v>
      </c>
      <c r="D52" s="50" t="s">
        <v>106</v>
      </c>
      <c r="E52" s="50" t="s">
        <v>107</v>
      </c>
    </row>
    <row r="53" spans="1:5" ht="60" x14ac:dyDescent="0.25">
      <c r="A53" s="50" t="s">
        <v>105</v>
      </c>
      <c r="B53" s="50" t="s">
        <v>9</v>
      </c>
      <c r="C53" s="50" t="str">
        <f>+LISTADO!$H$7</f>
        <v>Iván Arias / Dairy Mosquera / Jefferson González</v>
      </c>
      <c r="D53" s="50" t="s">
        <v>106</v>
      </c>
      <c r="E53" s="50" t="s">
        <v>108</v>
      </c>
    </row>
    <row r="54" spans="1:5" ht="60" x14ac:dyDescent="0.25">
      <c r="A54" s="50" t="s">
        <v>105</v>
      </c>
      <c r="B54" s="50" t="s">
        <v>9</v>
      </c>
      <c r="C54" s="50" t="str">
        <f>+LISTADO!$H$7</f>
        <v>Iván Arias / Dairy Mosquera / Jefferson González</v>
      </c>
      <c r="D54" s="50" t="s">
        <v>106</v>
      </c>
      <c r="E54" s="50" t="s">
        <v>109</v>
      </c>
    </row>
    <row r="55" spans="1:5" ht="60" x14ac:dyDescent="0.25">
      <c r="A55" s="50" t="s">
        <v>105</v>
      </c>
      <c r="B55" s="50" t="s">
        <v>9</v>
      </c>
      <c r="C55" s="50" t="str">
        <f>+LISTADO!$H$7</f>
        <v>Iván Arias / Dairy Mosquera / Jefferson González</v>
      </c>
      <c r="D55" s="50" t="s">
        <v>106</v>
      </c>
      <c r="E55" s="50" t="s">
        <v>110</v>
      </c>
    </row>
    <row r="56" spans="1:5" ht="75" x14ac:dyDescent="0.25">
      <c r="A56" s="50" t="s">
        <v>105</v>
      </c>
      <c r="B56" s="50" t="s">
        <v>9</v>
      </c>
      <c r="C56" s="50" t="str">
        <f>+LISTADO!$H$7</f>
        <v>Iván Arias / Dairy Mosquera / Jefferson González</v>
      </c>
      <c r="D56" s="50" t="s">
        <v>106</v>
      </c>
      <c r="E56" s="50" t="s">
        <v>111</v>
      </c>
    </row>
    <row r="57" spans="1:5" ht="60" x14ac:dyDescent="0.25">
      <c r="A57" s="50" t="s">
        <v>105</v>
      </c>
      <c r="B57" s="50" t="s">
        <v>9</v>
      </c>
      <c r="C57" s="50" t="str">
        <f>+LISTADO!$H$7</f>
        <v>Iván Arias / Dairy Mosquera / Jefferson González</v>
      </c>
      <c r="D57" s="50" t="s">
        <v>106</v>
      </c>
      <c r="E57" s="50" t="s">
        <v>112</v>
      </c>
    </row>
    <row r="58" spans="1:5" ht="60" x14ac:dyDescent="0.25">
      <c r="A58" s="50" t="s">
        <v>105</v>
      </c>
      <c r="B58" s="50" t="s">
        <v>9</v>
      </c>
      <c r="C58" s="50" t="str">
        <f>+LISTADO!$H$7</f>
        <v>Iván Arias / Dairy Mosquera / Jefferson González</v>
      </c>
      <c r="D58" s="50" t="s">
        <v>106</v>
      </c>
      <c r="E58" s="50" t="s">
        <v>113</v>
      </c>
    </row>
    <row r="59" spans="1:5" ht="60" x14ac:dyDescent="0.25">
      <c r="A59" s="50" t="s">
        <v>105</v>
      </c>
      <c r="B59" s="50" t="s">
        <v>9</v>
      </c>
      <c r="C59" s="50" t="str">
        <f>+LISTADO!$H$7</f>
        <v>Iván Arias / Dairy Mosquera / Jefferson González</v>
      </c>
      <c r="D59" s="50" t="s">
        <v>106</v>
      </c>
      <c r="E59" s="50" t="s">
        <v>114</v>
      </c>
    </row>
    <row r="60" spans="1:5" ht="60" x14ac:dyDescent="0.25">
      <c r="A60" s="50" t="s">
        <v>105</v>
      </c>
      <c r="B60" s="50" t="s">
        <v>9</v>
      </c>
      <c r="C60" s="50" t="str">
        <f>+LISTADO!$H$7</f>
        <v>Iván Arias / Dairy Mosquera / Jefferson González</v>
      </c>
      <c r="D60" s="50" t="s">
        <v>106</v>
      </c>
      <c r="E60" s="50" t="s">
        <v>115</v>
      </c>
    </row>
    <row r="61" spans="1:5" ht="60" x14ac:dyDescent="0.25">
      <c r="A61" s="50" t="s">
        <v>105</v>
      </c>
      <c r="B61" s="50" t="s">
        <v>9</v>
      </c>
      <c r="C61" s="50" t="str">
        <f>+LISTADO!$H$7</f>
        <v>Iván Arias / Dairy Mosquera / Jefferson González</v>
      </c>
      <c r="D61" s="50" t="s">
        <v>106</v>
      </c>
      <c r="E61" s="50" t="s">
        <v>116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
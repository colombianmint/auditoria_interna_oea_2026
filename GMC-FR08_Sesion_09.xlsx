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7" documentId="11_7A409B52BDBD80F1AD9147F17AF342E046ACC290" xr6:coauthVersionLast="47" xr6:coauthVersionMax="47" xr10:uidLastSave="{9D6CE9DB-1DB8-4138-B31B-1ACADB7AB3F9}"/>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<sst xmlns="http://schemas.openxmlformats.org/spreadsheetml/2006/main" count="85" uniqueCount="56">
  <si>
    <t xml:space="preserve">CI COLOMBIAN MINT </t>
  </si>
  <si>
    <t>Codigo: GMC-FR08</t>
  </si>
  <si>
    <t xml:space="preserve">   LISTADO DE VERIFICACION </t>
  </si>
  <si>
    <t>Versión:1</t>
  </si>
  <si>
    <t>Fecha de aprobación: 
01/07/2021</t>
  </si>
  <si>
    <t>1. PLANIFICACIÓN DE LA AUDITORIA</t>
  </si>
  <si>
    <t xml:space="preserve">FECHA </t>
  </si>
  <si>
    <t>2026-07-10</t>
  </si>
  <si>
    <t>PROCESO</t>
  </si>
  <si>
    <t>GPC GESTION PRODUCCION</t>
  </si>
  <si>
    <t xml:space="preserve">AUDITOR </t>
  </si>
  <si>
    <t>Diego Beltrán /  Iván Arias</t>
  </si>
  <si>
    <t>AUDITADO</t>
  </si>
  <si>
    <t>María Emma Rengifo / Ana López / Albeiro Esteban</t>
  </si>
  <si>
    <t>DOCUMENTOS RELACIONADOS</t>
  </si>
  <si>
    <t>GMC-FR07 Plan Auditorías 2026 · Res. 015/2016 Art. 4º · GMC-FR08</t>
  </si>
  <si>
    <t>REQUISITOS</t>
  </si>
  <si>
    <t>OEA 1.9</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</si>
  <si>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</si>
  <si>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</si>
  <si>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</si>
  <si>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</si>
  <si>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</si>
  <si>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</si>
  <si>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</si>
  <si>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</si>
  <si>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</si>
  <si>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</si>
  <si>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</si>
  <si>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</si>
  <si>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</si>
  <si>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</si>
  <si>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</si>
  <si>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</si>
  <si>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</si>
  <si>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</si>
  <si>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</si>
  <si>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</si>
  <si>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</si>
  <si>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</si>
  <si>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</si>
  <si>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</si>
  <si>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</si>
  <si>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</si>
  <si>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</si>
  <si>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Tener procedimientos documentados para el control, pesaje, contabilización, medición o tallaje de mercancías al ingreso o salida de la zona de almacenamiento.</t>
  </si>
  <si>
    <t>¿Indique las instalaciones donde se alista, empaca, despacha, carga e inspecciona la unidad de carga, ya sean propias o de su asociado de negocio, incluyendo aquellas destinadas a servicios de Cross-Docking. Para sustentar, presente evidencia documental vigente de Colombian Mint, tales como: GPC-PR01 (Procedimiento Fundición y Afinación de Metales), GPC-FR01 (Registro devolución de material custodia)?</t>
  </si>
  <si>
    <t>¿Mencione el documento(s), procedimiento(s), instructivo(s), manual(es), que describe las actividades que se ejecutan para la salida e ingreso de las mercancías garantizando el control del pesaje, contabilización, medición o tallaje (segun aplique), debe ser razonable para el tipo de mercancía (unidades, granel, bultos, etc). Indique la ubicación en el documento (numeral, ítem, párrafos, página, etc.) Indique versión, fecha e identificación en el SGD. Para sustentar, presente evidencia documental vigente de Colombian Mint, tales como: GPC-FR07 (Control de PH, cuando aplique a medición/calibración del proceso.), GPC-PR01 (Procedimiento Fundición y Afinación de Metales)?</t>
  </si>
  <si>
    <t>¿Mencione el formato(s), registro(s), sistemas informáticos y/o mecanismos implementados. Indique versión, fecha e identificación en el SGD. Para sustentar, presente evidencia documental vigente de Colombian Mint, tales como: GPC-FR01 (Registro devolución de material custodia), GPC-FR14 (Registro de recibo material custodia)?</t>
  </si>
  <si>
    <t>¿En caso de tener tercerizado este proceso ¿Cuáles son las medidas de control que su asociado de negocio implementa para el cumplimiento del pesaje, contabilización, medición o tallaje de las mercancías al ingreso o salida de la zona de almacenamiento? Indique en el documento de su asociado de negocio, la ubicación del documento (numeral, ítem, párrafos, página, etc.). Para sustentar, presente evidencia documental vigente de Colombian Mint, tales como: GPC-FR07 (Control de PH, cuando aplique a medición/calibración del proceso.), GEX-FR01 (Control Trazabilidad de Exportaciones.)?</t>
  </si>
  <si>
    <t>¿Cargue las evidencias de implementación (Ej. Procedimiento(s), instructivo(s), manual(es), reporte de ingreso y/o salida, reporte de llenado, planilla de traslado, tiquete de báscula, lista de chequeo, captura de pantalla del sistema, registro fotográfico de despacho / recepción, correos, cláusulas de seguridad, acuerdos, SOP, etc.). Para sustentar, presente evidencia documental vigente de Colombian Mint, tales como: GPC-PR01 (Procedimiento Fundición y Afinación de Metales), GPC-FR01 (Registro devolución de material custodia)?</t>
  </si>
  <si>
    <t>¿según criterios de auditoría OEA (ISO 19011) para el requisito OEA 1.9: Procedimiento documentado. ¿Qué evidencia objetiva presenta el auditado? Documentos de referencia: GPC-PR01 (Procedimiento Fundición y Afinación de Metales), GPC-FR01 (Registro devolución de material custodia)?</t>
  </si>
  <si>
    <t>¿según criterios de auditoría OEA (ISO 19011) para el requisito OEA 1.9: Formatos de registro de ingreso y salida. ¿Qué evidencia objetiva presenta el auditado? Documentos de referencia: GPC-FR01 (Registro devolución de material custodia), GPC-FR14 (Registro de recibo material custodia)?</t>
  </si>
  <si>
    <t>¿según criterios de auditoría OEA (ISO 19011) para el requisito OEA 1.9: Bitácoras de control logístico. ¿Qué evidencia objetiva presenta el auditado? Documentos de referencia: GEX-FR01 (Control Trazabilidad de Exportaciones.), GCM-FR07 (Contabilidad de compras, cuando aplique al control operativo/contable.)?</t>
  </si>
  <si>
    <t>¿según criterios de auditoría OEA (ISO 19011) para el requisito OEA 1.9: Equipos calibrados. ¿Qué evidencia objetiva presenta el auditado? Documentos de referencia: MTO-FR01 (Inventarios de Equipos), MTO-FR02 (Hoja de Vida de Equipos)?</t>
  </si>
  <si>
    <t>¿Verifique el documento GPC-CA01 (Caracterización Producción). ¿Está vigente, identificado en el SGD, aprobado por la autoridad competente y en aplicación para el requisito OEA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</si>
</sst>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numFmt numFmtId="0" formatCode="General"/>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57F5BB-648D-46DC-8A59-5AF70E299B3E}" name="Tabla1" displayName="Tabla1" ref="A1:E11" totalsRowShown="0" headerRowDxfId="2" dataDxfId="1" headerRowBorderDxfId="7" tableBorderDxfId="8">
  <autoFilter ref="A1:E11" xr:uid="{AE57F5BB-648D-46DC-8A59-5AF70E299B3E}"/>
  <tableColumns count="5">
    <tableColumn id="1" xr3:uid="{C1D8CE23-D642-4B05-A714-12419E4EADE9}" name="Requisito" dataDxfId="6"/>
    <tableColumn id="2" xr3:uid="{9F387413-E9DA-4DBC-8B1E-AC54144DCB00}" name="Proceso" dataDxfId="5"/>
    <tableColumn id="3" xr3:uid="{4402C1BA-FECC-4024-86B6-AD7369F29E9F}" name="Responsable" dataDxfId="0">
      <calculatedColumnFormula>+LISTADO!$H$7</calculatedColumnFormula>
    </tableColumn>
    <tableColumn id="4" xr3:uid="{A0B077A7-25C2-43DC-A1B1-7C760FCD8B88}" name="Descripción del requisito" dataDxfId="4"/>
    <tableColumn id="5" xr3:uid="{C6667952-8D5A-41D5-9912-251B59088C09}" name="Preguntas Sugeridas Auditoría Interna" dataDxfId="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opLeftCell="A2" zoomScaleNormal="100" workbookViewId="0">
      <selection activeCell="A10" sqref="A10:L10"/>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tabSelected="1" topLeftCell="A3" workbookViewId="0">
      <selection sqref="A1:XFD1048576"/>
    </sheetView>
  </sheetViews>
  <sheetFormatPr baseColWidth="10" defaultColWidth="9.140625" defaultRowHeight="15" x14ac:dyDescent="0.25"/>
  <cols>
    <col min="1" max="1" width="8.28515625" customWidth="1"/>
    <col min="2" max="2" width="13.7109375" customWidth="1"/>
    <col min="3" max="3" width="24.140625" customWidth="1"/>
    <col min="4" max="4" width="62.5703125" customWidth="1"/>
    <col min="5" max="5" width="115" customWidth="1"/>
  </cols>
  <sheetData>
    <row r="1" spans="1:5" ht="24" x14ac:dyDescent="0.25">
      <c r="A1" s="48" t="s">
        <v>40</v>
      </c>
      <c r="B1" s="48" t="s">
        <v>41</v>
      </c>
      <c r="C1" s="48" t="s">
        <v>42</v>
      </c>
      <c r="D1" s="48" t="s">
        <v>43</v>
      </c>
      <c r="E1" s="49" t="s">
        <v>44</v>
      </c>
    </row>
    <row r="2" spans="1:5" ht="60" x14ac:dyDescent="0.25">
      <c r="A2" s="50" t="s">
        <v>17</v>
      </c>
      <c r="B2" s="50" t="s">
        <v>9</v>
      </c>
      <c r="C2" s="50" t="str">
        <f>+LISTADO!$H$7</f>
        <v>María Emma Rengifo / Ana López / Albeiro Esteban</v>
      </c>
      <c r="D2" s="50" t="s">
        <v>45</v>
      </c>
      <c r="E2" s="50" t="s">
        <v>46</v>
      </c>
    </row>
    <row r="3" spans="1:5" ht="90" x14ac:dyDescent="0.25">
      <c r="A3" s="50" t="s">
        <v>17</v>
      </c>
      <c r="B3" s="50" t="s">
        <v>9</v>
      </c>
      <c r="C3" s="50" t="str">
        <f>+LISTADO!$H$7</f>
        <v>María Emma Rengifo / Ana López / Albeiro Esteban</v>
      </c>
      <c r="D3" s="50" t="s">
        <v>45</v>
      </c>
      <c r="E3" s="50" t="s">
        <v>47</v>
      </c>
    </row>
    <row r="4" spans="1:5" ht="45" x14ac:dyDescent="0.25">
      <c r="A4" s="50" t="s">
        <v>17</v>
      </c>
      <c r="B4" s="50" t="s">
        <v>9</v>
      </c>
      <c r="C4" s="50" t="str">
        <f>+LISTADO!$H$7</f>
        <v>María Emma Rengifo / Ana López / Albeiro Esteban</v>
      </c>
      <c r="D4" s="50" t="s">
        <v>45</v>
      </c>
      <c r="E4" s="50" t="s">
        <v>48</v>
      </c>
    </row>
    <row r="5" spans="1:5" ht="75" x14ac:dyDescent="0.25">
      <c r="A5" s="50" t="s">
        <v>17</v>
      </c>
      <c r="B5" s="50" t="s">
        <v>9</v>
      </c>
      <c r="C5" s="50" t="str">
        <f>+LISTADO!$H$7</f>
        <v>María Emma Rengifo / Ana López / Albeiro Esteban</v>
      </c>
      <c r="D5" s="50" t="s">
        <v>45</v>
      </c>
      <c r="E5" s="50" t="s">
        <v>49</v>
      </c>
    </row>
    <row r="6" spans="1:5" ht="75" x14ac:dyDescent="0.25">
      <c r="A6" s="50" t="s">
        <v>17</v>
      </c>
      <c r="B6" s="50" t="s">
        <v>9</v>
      </c>
      <c r="C6" s="50" t="str">
        <f>+LISTADO!$H$7</f>
        <v>María Emma Rengifo / Ana López / Albeiro Esteban</v>
      </c>
      <c r="D6" s="50" t="s">
        <v>45</v>
      </c>
      <c r="E6" s="50" t="s">
        <v>50</v>
      </c>
    </row>
    <row r="7" spans="1:5" ht="45" x14ac:dyDescent="0.25">
      <c r="A7" s="50" t="s">
        <v>17</v>
      </c>
      <c r="B7" s="50" t="s">
        <v>9</v>
      </c>
      <c r="C7" s="50" t="str">
        <f>+LISTADO!$H$7</f>
        <v>María Emma Rengifo / Ana López / Albeiro Esteban</v>
      </c>
      <c r="D7" s="50" t="s">
        <v>45</v>
      </c>
      <c r="E7" s="50" t="s">
        <v>51</v>
      </c>
    </row>
    <row r="8" spans="1:5" ht="45" x14ac:dyDescent="0.25">
      <c r="A8" s="50" t="s">
        <v>17</v>
      </c>
      <c r="B8" s="50" t="s">
        <v>9</v>
      </c>
      <c r="C8" s="50" t="str">
        <f>+LISTADO!$H$7</f>
        <v>María Emma Rengifo / Ana López / Albeiro Esteban</v>
      </c>
      <c r="D8" s="50" t="s">
        <v>45</v>
      </c>
      <c r="E8" s="50" t="s">
        <v>52</v>
      </c>
    </row>
    <row r="9" spans="1:5" ht="45" x14ac:dyDescent="0.25">
      <c r="A9" s="50" t="s">
        <v>17</v>
      </c>
      <c r="B9" s="50" t="s">
        <v>9</v>
      </c>
      <c r="C9" s="50" t="str">
        <f>+LISTADO!$H$7</f>
        <v>María Emma Rengifo / Ana López / Albeiro Esteban</v>
      </c>
      <c r="D9" s="50" t="s">
        <v>45</v>
      </c>
      <c r="E9" s="50" t="s">
        <v>53</v>
      </c>
    </row>
    <row r="10" spans="1:5" ht="45" x14ac:dyDescent="0.25">
      <c r="A10" s="50" t="s">
        <v>17</v>
      </c>
      <c r="B10" s="50" t="s">
        <v>9</v>
      </c>
      <c r="C10" s="50" t="str">
        <f>+LISTADO!$H$7</f>
        <v>María Emma Rengifo / Ana López / Albeiro Esteban</v>
      </c>
      <c r="D10" s="50" t="s">
        <v>45</v>
      </c>
      <c r="E10" s="50" t="s">
        <v>54</v>
      </c>
    </row>
    <row r="11" spans="1:5" ht="45" x14ac:dyDescent="0.25">
      <c r="A11" s="50" t="s">
        <v>17</v>
      </c>
      <c r="B11" s="50" t="s">
        <v>9</v>
      </c>
      <c r="C11" s="50" t="str">
        <f>+LISTADO!$H$7</f>
        <v>María Emma Rengifo / Ana López / Albeiro Esteban</v>
      </c>
      <c r="D11" s="50" t="s">
        <v>45</v>
      </c>
      <c r="E11" s="50" t="s">
        <v>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2026-06-30T12:01:28Z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
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24226"/>
  <mc:AlternateContent xmlns:mc="http://schemas.openxmlformats.org/markup-compatibility/2006">
    <mc:Choice Requires="x15">
      <x15ac:absPath xmlns:x15ac="http://schemas.microsoft.com/office/spreadsheetml/2010/11/ac" url="https://d.docs.live.net/6b20ea477b36462f/Cursor/Auditorias/Interna OEA/app/listados/"/>
    </mc:Choice>
  </mc:AlternateContent>
  <xr:revisionPtr revIDLastSave="18" documentId="11_45989B52BDBD4E2929AF7B50F6D1DAA3427C2DC6" xr6:coauthVersionLast="47" xr6:coauthVersionMax="47" xr10:uidLastSave="{44E02114-0416-4A4C-A1B6-43C32DBCEF65}"/>
  <bookViews>
    <workbookView xWindow="28680" yWindow="2610" windowWidth="24240" windowHeight="13020" activeTab="1" xr2:uid="{00000000-000D-0000-FFFF-FFFF00000000}"/>
  </bookViews>
  <sheets>
    <sheet name="LISTADO" sheetId="1" r:id="rId1"/>
    <sheet name="Banco Pregunta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22" i="2" l="1"/>
  <c r="C23" i="2"/>
  <c r="C24" i="2"/>
  <c r="C25" i="2"/>
  <c r="C26" i="2"/>
  <c r="C27" i="2"/>
  <c r="C28" i="2"/>
  <c r="C29" i="2"/>
  <c r="C30" i="2"/>
  <c r="C31" i="2"/>
  <c r="C32" i="2"/>
  <c r="C33" i="2"/>
  <c r="C34" i="2"/>
  <c r="C35" i="2"/>
  <c r="C36" i="2"/>
  <c r="C37" i="2"/>
  <c r="C38" i="2"/>
  <c r="C39" i="2"/>
  <c r="C40" i="2"/>
  <c r="C41" i="2"/>
  <c r="C12" i="2"/>
  <c r="C13" i="2"/>
  <c r="C14" i="2"/>
  <c r="C15" i="2"/>
  <c r="C16" i="2"/>
  <c r="C17" i="2"/>
  <c r="C18" i="2"/>
  <c r="C19" i="2"/>
  <c r="C20" i="2"/>
  <c r="C21" i="2"/>
  <c r="C3" i="2"/>
  <c r="C4" i="2"/>
  <c r="C5" i="2"/>
  <c r="C6" i="2"/>
  <c r="C7" i="2"/>
  <c r="C8" i="2"/>
  <c r="C9" i="2"/>
  <c r="C10" i="2"/>
  <c r="C11" i="2"/>
  <c r="C2" i="2"/>
  <c r="G48" i="1"/>
  <c r="D48" i="1"/>
  <c r="B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yesidrf@gmail.com</author>
  </authors>
  <commentList>
    <comment ref="H48" authorId="0" shapeId="0" xr:uid="{00000000-0006-0000-0000-000001000000}">
      <text>
        <r>
          <rPr>
            <sz val="11"/>
            <color theme="1"/>
            <rFont val="Calibri"/>
            <family val="2"/>
            <scheme val="minor"/>
          </rPr>
          <t xml:space="preserve">Nivel de implementación
1. No se ha Implementado
2. Su implementación es deficiente
3. Está en proceso de implementación
4. Se ha implementado completamente
5. Modelo en resultado trabaja con mejoramiento continuo
</t>
        </r>
      </text>
    </comment>
    <comment ref="J48" authorId="0" shapeId="0" xr:uid="{00000000-0006-0000-0000-000002000000}">
      <text>
        <r>
          <rPr>
            <sz val="11"/>
            <color theme="1"/>
            <rFont val="Calibri"/>
            <family val="2"/>
            <scheme val="minor"/>
          </rPr>
          <t xml:space="preserve">Nivel de Eficacia
1. No cumple con el objetivo, ni los indicadores y no tiene plan de acción
2. No cumple el objetivo, no los indicadores y tiene plan de acción
3. Cumple los indicadores algunas veces y genera plan de acción
4. Cumple con los indicadores y alcanza objetivos
5. Sobrepasa los indicadores se puede proyectar mas
</t>
        </r>
      </text>
    </comment>
  </commentList>
</comments>
</file>

<file path=xl/sharedStrings.xml><?xml version="1.0" encoding="utf-8"?>
<sst xmlns="http://schemas.openxmlformats.org/spreadsheetml/2006/main" count="205" uniqueCount="93">
  <si>
    <t xml:space="preserve">CI COLOMBIAN MINT </t>
  </si>
  <si>
    <t>Codigo: GMC-FR08</t>
  </si>
  <si>
    <t xml:space="preserve">   LISTADO DE VERIFICACION </t>
  </si>
  <si>
    <t>Versión:1</t>
  </si>
  <si>
    <t>Fecha de aprobación: 
01/07/2021</t>
  </si>
  <si>
    <t>1. PLANIFICACIÓN DE LA AUDITORIA</t>
  </si>
  <si>
    <t xml:space="preserve">FECHA </t>
  </si>
  <si>
    <t>2026-07-09</t>
  </si>
  <si>
    <t>PROCESO</t>
  </si>
  <si>
    <t>GPE GESTIÓN PLANEACIÓN ESTRATÉGICA</t>
  </si>
  <si>
    <t xml:space="preserve">AUDITOR </t>
  </si>
  <si>
    <t>Juan Esteban Gómez</t>
  </si>
  <si>
    <t>AUDITADO</t>
  </si>
  <si>
    <t>Estefanía Granda / Luis Arango</t>
  </si>
  <si>
    <t>DOCUMENTOS RELACIONADOS</t>
  </si>
  <si>
    <t>GMC-FR07 Plan Auditorías 2026 · Res. 015/2016 Art. 4º · GMC-FR08</t>
  </si>
  <si>
    <t>REQUISITOS</t>
  </si>
  <si>
    <t>OEA 1.1, OEA 1.2, OEA 6.2, OEA 6.5</t>
  </si>
  <si>
    <t>OBJETIVO</t>
  </si>
  <si>
    <t>Validar el cumplimiento de los requisitos de la resolución 015 de 2016 para el OEA Exportador</t>
  </si>
  <si>
    <t>ALCANCE</t>
  </si>
  <si>
    <t>Todos los requisitos OEA de la resolución 015 de 2016 para operador económico autorizado tipo Exportador.</t>
  </si>
  <si>
    <t>2. ENTREVISTA</t>
  </si>
  <si>
    <t>PREGUNTAS</t>
  </si>
  <si>
    <t>COMENTARIOS</t>
  </si>
  <si>
    <t>CUMPLE</t>
  </si>
  <si>
    <t>SI</t>
  </si>
  <si>
    <t>NO</t>
  </si>
  <si>
    <t>3. HALLAZGOS INDIVIDUALES</t>
  </si>
  <si>
    <t>4. ASPECTOS POR RESALTAR (AR)</t>
  </si>
  <si>
    <t>5. ASPECTOS POR MEJORAR (AM)</t>
  </si>
  <si>
    <t>REQUISITO</t>
  </si>
  <si>
    <t>NO CONFORMIDAD (NC)</t>
  </si>
  <si>
    <t>RIESGO</t>
  </si>
  <si>
    <t>Nº AC</t>
  </si>
  <si>
    <t>TOTAL AR</t>
  </si>
  <si>
    <t>TOTAL AM</t>
  </si>
  <si>
    <t>TOTAL NC</t>
  </si>
  <si>
    <t>NIVEL IMPLEMENTACIÓN</t>
  </si>
  <si>
    <t>NIVEL EFICACIA</t>
  </si>
  <si>
    <t>Requisito</t>
  </si>
  <si>
    <t>Proceso</t>
  </si>
  <si>
    <t>Responsable</t>
  </si>
  <si>
    <t>Descripción del requisito</t>
  </si>
  <si>
    <t>Preguntas Sugeridas Auditoría Interna</t>
  </si>
  <si>
    <t>OEA 1.1</t>
  </si>
  <si>
    <t>Tener una política de gestión de la seguridad basada en la evaluación del riesgo y orientada a garantizar la seguridad de sus cadenas de suministro, la cual debe tener establecidos objetivos, metas y programas de gestión de la seguridad.</t>
  </si>
  <si>
    <t>¿Mencione el documento(s) que contenga la política de seguridad. Indique versión, fecha e identificación en el SGD. Para sustentar, presente evidencia documental vigente de Colombian Mint, tales como: SRF-GU09 (Política de seguridad de la cadena de suministro), SRF-GU06 (Política de gestión en seguridad)?</t>
  </si>
  <si>
    <t>¿Mencione el documento(s) que contiene los Objetivos, Metas y Programas de la política. Indique versión, fecha e identificación en el SGD. Para sustentar, presente evidencia documental vigente de Colombian Mint, tales como: SST-MT05 (Matriz de objetivos y metas de SST, cuando aplique a objetivos SST/seg), SRF-GU09 (Política de seguridad de la cadena de suministro)?</t>
  </si>
  <si>
    <t>¿Como se mide el cumplimiento de las metas, la empresa cuenta con indicadores al respecto. ¿Qué registros o documentos (GPE-FR07 (Objetivos e indicadores OEA), GCP-GU04 (Guía de cumplimiento para el sistema de gestión de riesgos de soborno )) demuestran el cumplimiento de lo solicitado?</t>
  </si>
  <si>
    <t>¿Cómo socializa la política en la organización. Para sustentar, presente evidencia documental vigente de Colombian Mint, tales como: SRF-GU09 (Política de seguridad de la cadena de suministro), SRF-GU06 (Política de gestión en seguridad)?</t>
  </si>
  <si>
    <t>¿Cargue las evidencias de implementación (Ej. Política, matriz de evaluación y seguimiento a los objetivos, registro de asistencia a capacitaciones, cronogramas, programas de inducción y/o reinducción, registros de divulgación a los empleados, comunicaciones, registros fotográficos, etc.). Para sustentar, presente evidencia documental vigente de Colombian Mint, tales como: SST-MT05 (Matriz de objetivos y metas de SST, cuando aplique a objetivos SST/seg), GPE-FR04 (Matriz de riesgos por procesos.)?</t>
  </si>
  <si>
    <t>¿según criterios de auditoría OEA (ISO 19011) para el requisito OEA 1.1: Política de gestión de seguridad y administración de riesgos, debidamente documentada, escrito, firmada y socializada. ¿Qué evidencia objetiva presenta el auditado? Documentos de referencia: GCP-GU04 (Guía de cumplimiento para el sistema de gestión de riesgos de soborno ), SRF-GU06 (Política de gestión en seguridad)?</t>
  </si>
  <si>
    <t>¿según criterios de auditoría OEA (ISO 19011) para el requisito OEA 1.1: Programas anuales con metas claras, indicadores y objetivos. ¿Qué evidencia objetiva presenta el auditado? Documentos de referencia: GPE-FR07 (Objetivos e indicadores OEA), SST-MT05 (Matriz de objetivos y metas de SST, cuando aplique a objetivos SST/seg)?</t>
  </si>
  <si>
    <t>¿Verifique el documento GCP-MN01 (Manual de Riesgos). ¿Está vigente, identificado en el SGD, aprobado por la autoridad competente y en aplicación para el requisito OEA 1.1?</t>
  </si>
  <si>
    <t>¿en la auditoría ARCA (marzo 2025) se registró respecto a OEA 1.1: "GPE-FR07 El indicador de Visitas domiciliarias no se encuentra con medición para el año 2024, sin embargo, en la muestra se evidencia que el Señor Luis Octavio ocupa un cargo crítico e ingreso a la compañía en 2024, por ". ¿Cuál es el estado actual de las acciones correctivas y su verificación efectiva? Evidencia de cierre sugerida: GPE-FR07 (Objetivos e indicadores OEA)?</t>
  </si>
  <si>
    <t>¿El requisito OEA 1.1 exige: "Tener una política de gestión de la seguridad basada en la evaluación del riesgo y orientada a garantizar la seguridad de sus cadenas de suministro, la cual debe tener establecidos." ¿Qué controles operativos y registros demuestran su cumplimiento sostenido en Colombian Mint?</t>
  </si>
  <si>
    <t>OEA 1.2</t>
  </si>
  <si>
    <t>Tener un sistema de administración de riesgos enfocado en la cadena de suministro internacional, que prevea actividades ilícitas, entre otras lavado de activos, narcotráfico y financiación del terrorismo.</t>
  </si>
  <si>
    <t>¿Cuenta con un documento(s) que contenga la metodología del sistema de gestión de los riesgos? Señale la identificación con la que se caracteriza en el SGD. Indique versión, fecha e identificación en el SGD. Para sustentar, presente evidencia documental vigente de Colombian Mint, tales como: GPE-FR04 (Matriz de riesgos por procesos), GCP-MN01 (Manual de Riesgos)?</t>
  </si>
  <si>
    <t>¿Qué medios se utilizan para ejecutar la metodología del sistema de gestión de riesgos? Cuentan con Matriz de Riesgos, Indique versión, fecha e identificación en el SGD. Para sustentar, presente evidencia documental vigente de Colombian Mint, tales como: GPE-FR04 (Matriz de riesgos por procesos), GCP-MN01 (Manual de Riesgos)?</t>
  </si>
  <si>
    <t>¿El sistema de administración de riesgos está integrado con SAGRILAFT o SARLAFT? Indique versión, fecha e identificación en el SGD. Para sustentar, presente evidencia documental vigente de Colombian Mint, tales como: GPE-FR04 (Matriz de riesgos por procesos), GCP-MN01 (Manual de Riesgos)?</t>
  </si>
  <si>
    <t>¿En caso de haberse presentado cambios en las operaciones de exportación que afecten la CSI, con posterioridad a la autorización o a la última revalidación, indicar qué ajustes se hicieron dentro de la identificación de sus riesgos y controles. ¿Qué registros o documentos (GPE-FR04 (Matriz de riesgos por procesos), GCP-MN01 (Manual de Riesgos)) demuestran el cumplimiento de lo solicitado?</t>
  </si>
  <si>
    <t>¿En caso de haberse presentado un incidente de seguridad en la carga o en la operación aduanera, indicar qué ajustes se hicieron dentro de la identificación de sus riesgos, controles y plan de acción. ¿Qué registros o documentos (GPE-FR04 (Matriz de riesgos por procesos), GCP-MN01 (Manual de Riesgos)) demuestran el cumplimiento de lo solicitado?</t>
  </si>
  <si>
    <t>¿Cargue las evidencias de implementación (Ej. Matrices de riesgo, Manual, procedimiento, instructivo, metodología, captura de pantalla del sistema, reporte de incidentes de seguridad, planes de acción a incidentes, registros de acciones correctivas o de mejora). Para sustentar, presente evidencia documental vigente de Colombian Mint, tales como: GMC-FR04 (Reporte de acciones correctivas y de mejora), GCP-MN01 (Manual de Riesgos)?</t>
  </si>
  <si>
    <t>¿según criterios de auditoría OEA (ISO 19011) para el requisito OEA 1.2: Matriz de riesgos de la cadena de suministro internacional, que identifique amenazas (lavado de activos, contrabando, tráfico estupefacientes, tráfico sustancias para procesamiento de narcótico, terrorismo, financiación del terrorismo, tráfico de armas), riesgos en cada etapa y los controles asociados. ¿Qué evidencia objetiva presenta el auditado? Documentos de referencia: GPE-FR04 (Matriz de riesgos por procesos), GCP-MT01 (Matriz de Criticidad Asociados de Negocio Proveedores.)?</t>
  </si>
  <si>
    <t>¿según criterios de auditoría OEA (ISO 19011) para el requisito OEA 1.2: Informes de análisis de riesgo periódicos. ¿Qué evidencia objetiva presenta el auditado? Documentos de referencia: GPE-FR04 (Matriz de riesgos por procesos), GCP-MN01 (Manual de Riesgos)?</t>
  </si>
  <si>
    <t>¿según criterios de auditoría OEA (ISO 19011) para el requisito OEA 1.2: Registros y documentación del sistema de trazabilidad "María" (LN20), demostrando su aplicación en la debida diligencia de proveedores (consultas realizadas a cada asociado en listas restrictivas (Sagrilaft), antecedentes, y validación de su idoneidad). ¿Qué evidencia objetiva presenta el auditado? Documentos de referencia: GCP-MT01 (Matriz de Criticidad Asociados de Negocio Proveedores.), GCP-GU02 (Manual SAGRILAFT)?</t>
  </si>
  <si>
    <t>¿Verifique el documento GCP-GU07 (Procedimiento Señales de Alerta para la Prevención y Detección de Actividades Relacionadas). ¿Está vigente, identificado en el SGD, aprobado por la autoridad competente y en aplicación para el requisito OEA 1.2?</t>
  </si>
  <si>
    <t>OEA 6.2</t>
  </si>
  <si>
    <t>Debe tener un sistema de control de documentos que garantice que estos sean conocidos, modificados, actualizados y/o impresos por el personal que corresponda según sus roles y/o competencias.</t>
  </si>
  <si>
    <t>¿Cuáles son las medidas para identificar plenamente a los conductores (nombre y número de identificación), acompañantes (si aplica) y los vehículos (cabezote y tráiler). ¿Qué registros o documentos (GMC-GU01 (Guía para la Elaboración de Información Documentada), GCP-GU23 (Política de Gestión Documental)) demuestran el cumplimiento de lo solicitado?</t>
  </si>
  <si>
    <t>¿Cuáles son los formatos, registros, sistemas informáticos y/o mecanismos implementados, para identificar plenamente a los conductores, acompañantes (si aplica), vehículos (cabezote y tráiler)? Indique versión, fecha e identificación en el SGD. Para sustentar, presente evidencia documental vigente de Colombian Mint, tales como: GMC-GU01 (Guía para la Elaboración de Información Documentada), GCP-GU23 (Política de Gestión Documental)?</t>
  </si>
  <si>
    <t>¿las medidas de seguridad de los numérales 1 y 2 para la identificación y los registros, se encuentran descritos en documento(s), procedimiento(s), instructivo(s), manual(es). Indique la ubicación en el documento (numeral, ítem, párrafos, página, etc.) Indique versión, fecha e identificación en el SGD. 4 Si tiene tercerizado este proceso ¿Cuáles son las medidas de control que su asociado de negocio implementa para el cumplimiento de la identificación de conductores, acompañantes y vehículos? Indique en el documento de su asociado de negocio, la ubicación del documento (numeral, ítem, párrafos, página, etc.). Para sustentar, presente evidencia documental vigente de Colombian Mint, tales como: GMC-FR02 (Listado Maestro de Documentos), GMC-GU01 (Guía para la Elaboración de Información Documentada)?</t>
  </si>
  <si>
    <t>¿Cargue las evidencias de implementación (Ej. Procedimiento(s), instructivo(s), manual(es), registros control de ingreso y salida de conductores, acompañantes, y vehículos con carga de importación, captura de pantalla plataforma, correo electrónico, estudios de seguridad, registros fotográficos, cláusulas de seguridad, acuerdos, SOP, etc.). Para sustentar, presente evidencia documental vigente de Colombian Mint, tales como: GMC-GU01 (Guía para la Elaboración de Información Documentada), GCP-GU23 (Política de Gestión Documental)?</t>
  </si>
  <si>
    <t>¿según criterios de auditoría OEA (ISO 19011) para el requisito OEA 6.2: Política de gestión documental. ¿Qué evidencia objetiva presenta el auditado? Documentos de referencia: GCP-GU23 (Política de Gestión Documental), GMC-GU01 (Guía para la Elaboración de Información Documentada)?</t>
  </si>
  <si>
    <t>¿según criterios de auditoría OEA (ISO 19011) para el requisito OEA 6.2: Matriz de roles y permisos. ¿Qué evidencia objetiva presenta el auditado? Documentos de referencia: GTI-MT03 (Matriz de Permisos Usuarios AURUM), GTI-MT05 (Matriz de Grupos en SharePoint)?</t>
  </si>
  <si>
    <t>¿Verifique el documento GMC-FR14 (Tabla de retención documental). ¿Está vigente, identificado en el SGD, aprobado por la autoridad competente y en aplicación para el requisito OEA 6.2?</t>
  </si>
  <si>
    <t>¿en la auditoría ARCA (marzo 2025) se registró respecto a OEA 6.2: "Se evidencia durante el ejercicio de auditoría de seguridad de procesos que no se tienen controladas las versiones de los documentos, ya que la caracterización del proceso de exportación GEX-PR01 no se encuentra con las ". ¿Cuál es el estado actual de las acciones correctivas y su verificación efectiva? Evidencia de cierre sugerida: GMC-GU01 (Guía para la Elaboración de Información Documentada)?</t>
  </si>
  <si>
    <t>¿El requisito OEA 6.2 exige: "Debe tener un sistema de control de documentos que garantice que estos sean conocidos, modificados, actualizados y/o impresos por el personal que corresponda según sus roles y/o co." ¿Qué controles operativos y registros demuestran su cumplimiento sostenido en Colombian Mint?</t>
  </si>
  <si>
    <t>¿El personal entrevistado conoce los requisitos de OEA 6.2 y su responsabilidad en el cumplimiento? Solicite evidencia de socialización, inducción o capacitación?</t>
  </si>
  <si>
    <t>OEA 6.5</t>
  </si>
  <si>
    <t>Debe contar con un plan que garantice la continuidad de sus operaciones ante la ocurrencia de situaciones tales como: desastre natural, incendio, sabotaje, corte de energía, ciberataques y fallas en las comunicaciones y el transporte.</t>
  </si>
  <si>
    <t>¿Mencione el documento(s), procedimiento(s), instructivo(s), manual(es), con el cual la empresa garantiza la continuidad del negocio o en donde se detallan el conjunto de medidas para actuar ante una eventualidad que impida el desarrollo normal de una operación, que incluya elementos tales como medidas a tomar (humanas y organizativas), así como recursos, responsables, y protocolos para actuar antes, durante y después de cada una de las situaciones señaladas en el requisito. Indique versión, fecha e identificación en el SGD. Para sustentar, presente evidencia documental vigente de Colombian Mint, tales como: GPE-GU01 (Plan de Continuidad de Negocio), GTI-GU05 (Plan de Contingencia Tecnológica)?</t>
  </si>
  <si>
    <t>¿En caso de tener tercerizado el proceso de almacenamiento, cargue y despacho de mercancías objeto de exportación, ¿Conoce o cuenta con el documento(s) que contempla las acciones para la garantizar la continuidad de la operación en las instalaciones de su asociado de negocio?, Indique en el documento de su asociado de negocio, la ubicación del documento (numeral, ítem, párrafos, página, etc.). Para sustentar, presente evidencia documental vigente de Colombian Mint, tales como: GPE-GU01 (Plan de Continuidad de Negocio), GTI-GU05 (Plan de Contingencia Tecnológica)?</t>
  </si>
  <si>
    <t>¿Relacione las evidencias de implementación (Ej. Plan, matrices, simulacros, registros de incidentes, acuerdos, captura de pantalla, correos, capacitaciones, socialización con los colaboradores, etc.). ¿Qué registros o documentos (GPE-GU01 (Plan de Continuidad de Negocio), GTI-GU05 (Plan de Contingencia Tecnológica)) demuestran el cumplimiento de lo solicitado?</t>
  </si>
  <si>
    <t>¿según criterios de auditoría OEA (ISO 19011) para el requisito OEA 6.5: Manual o procedimiento de contingencias en ruta. ¿Qué evidencia objetiva presenta el auditado? Documentos de referencia: GPE-GU01 (Plan de Continuidad de Negocio), GTI-GU05 (Plan de Contingencia Tecnológica)?</t>
  </si>
  <si>
    <t>¿Verifique el documento SST-PL04 (Plan para la Prevención Preparación y Respuesta de Emergencias). ¿Está vigente, identificado en el SGD, aprobado por la autoridad competente y en aplicación para el requisito OEA 6.5?</t>
  </si>
  <si>
    <t>¿en la auditoría ARCA (marzo 2025) se registró respecto a OEA 6.5: "En la validación del Plan de continuidad de la compañía se evidencia que no se tiene simulacros que permitan identificar si hay cambios correspondientes o necesarios para actualización, además se evidencia que la informa". ¿Cuál es el estado actual de las acciones correctivas y su verificación efectiva? Evidencia de cierre sugerida: GPE-GU01 (Plan de Continuidad de Negocio)?</t>
  </si>
  <si>
    <t>¿El requisito OEA 6.5 exige: "Debe contar con un plan que garantice la continuidad de sus operaciones ante la ocurrencia de situaciones tales como: desastre natural, incendio, sabotaje, corte de energía, cibera." ¿Qué controles operativos y registros demuestran su cumplimiento sostenido en Colombian Mint?</t>
  </si>
  <si>
    <t>¿Presente el SST-PL15 y sus registros asociados. ¿Con qué periodicidad se actualiza, quién es el responsable y cómo se evidencia su aplicación al requisito OEA 6.5?</t>
  </si>
  <si>
    <t>¿El personal entrevistado conoce los requisitos de OEA 6.5 y su responsabilidad en el cumplimiento? Solicite evidencia de socialización, inducción o capacitación?</t>
  </si>
  <si>
    <t>¿Existen indicadores o métricas definidos para verificar la eficacia de los controles del requisito OEA 6.5? Presente resultados del último periodo evaluado?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</si>
</sst>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4" x14ac:knownFonts="1">
    <font>
      <sz val="11"/>
      <color theme="1"/>
      <name val="Calibri"/>
      <family val="2"/>
      <scheme val="minor"/>
    </font>
    <font>
      <sz val="11"/>
      <color theme="1"/>
      <name val="Arial"/>
      <family val="2"/>
    </font>
    <font>
      <b/>
      <sz val="11"/>
      <color theme="1"/>
      <name val="Arial"/>
      <family val="2"/>
    </font>
    <font>
      <sz val="10"/>
      <color theme="1"/>
      <name val="Arial"/>
      <family val="2"/>
    </font>
    <font>
      <b/>
      <sz val="10"/>
      <color theme="1"/>
      <name val="Arial"/>
      <family val="2"/>
    </font>
    <font>
      <sz val="11"/>
      <name val="Arial"/>
      <family val="2"/>
    </font>
    <font>
      <b/>
      <sz val="11"/>
      <name val="Arial"/>
      <family val="2"/>
    </font>
    <font>
      <b/>
      <sz val="12"/>
      <color theme="1"/>
      <name val="Arial"/>
      <family val="2"/>
    </font>
    <font>
      <b/>
      <sz val="14"/>
      <color theme="1"/>
      <name val="Arial"/>
      <family val="2"/>
    </font>
    <font>
      <sz val="10"/>
      <color rgb="FF000000"/>
      <name val="Arial"/>
      <family val="2"/>
    </font>
    <font>
      <sz val="10"/>
      <name val="Arial"/>
      <family val="2"/>
    </font>
    <font>
      <b/>
      <sz val="10"/>
      <color rgb="FF000000"/>
      <name val="Arial"/>
    </font>
    <font>
      <sz val="10"/>
      <color rgb="FF000000"/>
      <name val="Arial"/>
    </font>
    <font>
      <b/>
      <sz val="9"/>
      <color rgb="FF000000"/>
      <name val="Arial"/>
    </font>
  </fonts>
  <fills count="7">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
      <patternFill patternType="solid">
        <fgColor theme="0"/>
        <bgColor indexed="64"/>
      </patternFill>
    </fill>
    <fill>
      <patternFill patternType="solid">
        <fgColor rgb="FFFFC000"/>
        <bgColor rgb="FF000000"/>
      </patternFill>
    </fill>
    <fill>
      <patternFill patternType="solid">
        <fgColor rgb="FF9BBB59"/>
        <bgColor rgb="FF000000"/>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indexed="64"/>
      </left>
      <right style="thin">
        <color indexed="64"/>
      </right>
      <top/>
      <bottom style="thin">
        <color indexed="64"/>
      </bottom>
      <diagonal/>
    </border>
  </borders>
  <cellStyleXfs count="1">
    <xf numFmtId="0" fontId="0" fillId="0" borderId="0"/>
  </cellStyleXfs>
  <cellXfs count="51">
    <xf numFmtId="0" fontId="0" fillId="0" borderId="0" xfId="0"/>
    <xf numFmtId="0" fontId="1" fillId="0" borderId="0" xfId="0" applyFont="1"/>
    <xf numFmtId="0" fontId="1" fillId="0" borderId="0" xfId="0" applyFont="1" applyAlignment="1">
      <alignment horizontal="justify"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applyAlignment="1">
      <alignment horizontal="justify" vertical="center"/>
    </xf>
    <xf numFmtId="0" fontId="2" fillId="0" borderId="1" xfId="0" applyFont="1" applyBorder="1" applyAlignment="1">
      <alignment horizontal="center"/>
    </xf>
    <xf numFmtId="0" fontId="6" fillId="0" borderId="1" xfId="0" applyFont="1" applyBorder="1" applyAlignment="1">
      <alignment wrapText="1"/>
    </xf>
    <xf numFmtId="0" fontId="4" fillId="2" borderId="1" xfId="0" applyFont="1" applyFill="1" applyBorder="1" applyAlignment="1">
      <alignment horizontal="center" vertical="center"/>
    </xf>
    <xf numFmtId="0" fontId="4" fillId="2" borderId="1" xfId="0" applyFont="1" applyFill="1" applyBorder="1" applyAlignment="1">
      <alignment vertical="center" wrapText="1"/>
    </xf>
    <xf numFmtId="0" fontId="1"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4" fillId="3" borderId="1" xfId="0" applyFont="1" applyFill="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xf>
    <xf numFmtId="0" fontId="0" fillId="0" borderId="5" xfId="0" applyBorder="1"/>
    <xf numFmtId="0" fontId="0" fillId="0" borderId="4" xfId="0" applyBorder="1"/>
    <xf numFmtId="0" fontId="10" fillId="0" borderId="1" xfId="0" applyFont="1" applyBorder="1" applyAlignment="1">
      <alignment horizontal="left" vertical="top" wrapText="1"/>
    </xf>
    <xf numFmtId="0" fontId="10" fillId="0" borderId="1" xfId="0" applyFont="1" applyBorder="1" applyAlignment="1">
      <alignment horizontal="justify" vertical="center" wrapText="1"/>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2" xfId="0" applyBorder="1"/>
    <xf numFmtId="0" fontId="0" fillId="0" borderId="3" xfId="0" applyBorder="1"/>
    <xf numFmtId="0" fontId="0" fillId="0" borderId="8" xfId="0" applyBorder="1"/>
    <xf numFmtId="0" fontId="0" fillId="0" borderId="9" xfId="0" applyBorder="1"/>
    <xf numFmtId="0" fontId="0" fillId="0" borderId="10" xfId="0" applyBorder="1"/>
    <xf numFmtId="0" fontId="4" fillId="3" borderId="1" xfId="0" applyFont="1" applyFill="1" applyBorder="1" applyAlignment="1">
      <alignment horizontal="left" vertical="center" wrapText="1"/>
    </xf>
    <xf numFmtId="0" fontId="2" fillId="2" borderId="1" xfId="0" applyFont="1" applyFill="1" applyBorder="1" applyAlignment="1">
      <alignment horizontal="center" vertical="center"/>
    </xf>
    <xf numFmtId="0" fontId="1" fillId="0" borderId="1" xfId="0" applyFont="1" applyBorder="1" applyAlignment="1">
      <alignment horizontal="center"/>
    </xf>
    <xf numFmtId="164" fontId="3" fillId="0" borderId="1" xfId="0" applyNumberFormat="1" applyFont="1" applyBorder="1" applyAlignment="1">
      <alignment horizontal="lef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justify" vertical="center" wrapText="1"/>
    </xf>
    <xf numFmtId="0" fontId="5" fillId="0" borderId="1" xfId="0" applyFont="1" applyBorder="1" applyAlignment="1">
      <alignment horizontal="center" vertical="top" wrapText="1"/>
    </xf>
    <xf numFmtId="0" fontId="11" fillId="0" borderId="1" xfId="0" applyFont="1" applyBorder="1" applyAlignment="1">
      <alignment horizontal="justify" vertical="center" wrapText="1"/>
    </xf>
    <xf numFmtId="0" fontId="4" fillId="2" borderId="1" xfId="0" applyFont="1" applyFill="1" applyBorder="1" applyAlignment="1">
      <alignment horizontal="center" vertical="center" wrapText="1"/>
    </xf>
    <xf numFmtId="0" fontId="8" fillId="0" borderId="1" xfId="0" applyFont="1" applyBorder="1" applyAlignment="1">
      <alignment horizontal="center" vertical="center" wrapText="1"/>
    </xf>
    <xf numFmtId="0" fontId="3" fillId="0" borderId="1" xfId="0" applyFont="1" applyBorder="1" applyAlignment="1">
      <alignment horizontal="left" vertical="center" wrapText="1"/>
    </xf>
    <xf numFmtId="0" fontId="7" fillId="0" borderId="1" xfId="0" applyFont="1" applyBorder="1" applyAlignment="1">
      <alignment horizontal="center" vertical="center"/>
    </xf>
    <xf numFmtId="0" fontId="0" fillId="0" borderId="6" xfId="0" applyBorder="1"/>
    <xf numFmtId="0" fontId="1" fillId="0" borderId="0" xfId="0" applyFont="1"/>
    <xf numFmtId="0" fontId="0" fillId="0" borderId="7" xfId="0" applyBorder="1"/>
    <xf numFmtId="0" fontId="12" fillId="0" borderId="1" xfId="0" applyFont="1" applyBorder="1" applyAlignment="1">
      <alignment vertical="center" wrapText="1"/>
    </xf>
    <xf numFmtId="0" fontId="3" fillId="0" borderId="1" xfId="0" applyFont="1" applyBorder="1" applyAlignment="1">
      <alignment horizontal="center"/>
    </xf>
    <xf numFmtId="0" fontId="9" fillId="0" borderId="1" xfId="0" applyFont="1" applyBorder="1" applyAlignment="1">
      <alignment horizontal="left" vertical="center" wrapText="1"/>
    </xf>
    <xf numFmtId="0" fontId="12" fillId="0" borderId="1" xfId="0" applyFont="1" applyBorder="1" applyAlignment="1">
      <alignment horizontal="justify" vertical="center" wrapText="1"/>
    </xf>
    <xf numFmtId="0" fontId="1" fillId="0" borderId="1" xfId="0" applyFont="1" applyBorder="1" applyAlignment="1">
      <alignment horizontal="center" vertical="center"/>
    </xf>
    <xf numFmtId="0" fontId="13" fillId="5" borderId="11"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0" fillId="0" borderId="0" xfId="0" applyAlignment="1">
      <alignment wrapText="1"/>
    </xf>
  </cellXfs>
  <cellStyles count="1">
    <cellStyle name="Normal" xfId="0" builtinId="0"/>
  </cellStyles>
  <dxfs count="9">
    <dxf>
      <alignment textRotation="0" wrapText="1" indent="0" justifyLastLine="0" shrinkToFit="0" readingOrder="0"/>
    </dxf>
    <dxf>
      <font>
        <b/>
        <i val="0"/>
        <strike val="0"/>
        <condense val="0"/>
        <extend val="0"/>
        <outline val="0"/>
        <shadow val="0"/>
        <u val="none"/>
        <vertAlign val="baseline"/>
        <sz val="9"/>
        <color rgb="FF000000"/>
        <name val="Arial"/>
        <scheme val="none"/>
      </font>
      <fill>
        <patternFill patternType="solid">
          <fgColor rgb="FF000000"/>
          <bgColor rgb="FFFFC000"/>
        </patternFill>
      </fill>
      <alignment horizontal="center" vertical="center" textRotation="0" wrapText="1" indent="0" justifyLastLine="0" shrinkToFit="0" readingOrder="0"/>
      <border diagonalUp="0" diagonalDown="0" outline="0">
        <left style="thin">
          <color indexed="64"/>
        </left>
        <right style="thin">
          <color indexed="64"/>
        </right>
        <top/>
        <bottom/>
      </border>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alignment textRotation="0" wrapText="1" indent="0" justifyLastLine="0" shrinkToFit="0" readingOrder="0"/>
    </dxf>
    <dxf>
      <border outline="0">
        <bottom style="thin">
          <color indexed="64"/>
        </bottom>
      </border>
    </dxf>
    <dxf>
      <border outline="0">
        <top style="thin">
          <color indexed="64"/>
        </top>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345321</xdr:colOff>
      <xdr:row>0</xdr:row>
      <xdr:rowOff>34018</xdr:rowOff>
    </xdr:from>
    <xdr:to>
      <xdr:col>1</xdr:col>
      <xdr:colOff>759514</xdr:colOff>
      <xdr:row>3</xdr:row>
      <xdr:rowOff>238125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tretch>
          <a:fillRect/>
        </a:stretch>
      </xdr:blipFill>
      <xdr:spPr>
        <a:xfrm>
          <a:off x="345321" y="34018"/>
          <a:ext cx="928543" cy="937532"/>
        </a:xfrm>
        <a:prstGeom prst="rect">
          <a:avLst/>
        </a:prstGeom>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5339182-6499-4C7A-A031-F5333EEAA615}" name="Tabla1" displayName="Tabla1" ref="A1:E41" totalsRowShown="0" headerRowDxfId="1" dataDxfId="0" headerRowBorderDxfId="7" tableBorderDxfId="8">
  <autoFilter ref="A1:E41" xr:uid="{D5339182-6499-4C7A-A031-F5333EEAA615}"/>
  <tableColumns count="5">
    <tableColumn id="1" xr3:uid="{05C133E3-1BD7-42F1-8B07-737DE6A17E7A}" name="Requisito" dataDxfId="6"/>
    <tableColumn id="2" xr3:uid="{2F808F3A-E275-4AC6-A0DA-A12B6815C0D7}" name="Proceso" dataDxfId="5"/>
    <tableColumn id="3" xr3:uid="{CB70655F-D027-4E72-9895-1590E7AB9E37}" name="Responsable" dataDxfId="4"/>
    <tableColumn id="4" xr3:uid="{C7A23224-5251-4E15-B920-4E8A376EFAA1}" name="Descripción del requisito" dataDxfId="3"/>
    <tableColumn id="5" xr3:uid="{1C2056B4-53D9-49D2-A9FD-CD8B399B6743}" name="Preguntas Sugeridas Auditoría Interna" dataDxfId="2"/>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8"/>
  <sheetViews>
    <sheetView showGridLines="0" zoomScaleNormal="100" workbookViewId="0">
      <selection activeCell="A10" sqref="A10:L10"/>
    </sheetView>
  </sheetViews>
  <sheetFormatPr baseColWidth="10" defaultColWidth="11.42578125" defaultRowHeight="14.25" x14ac:dyDescent="0.2"/>
  <cols>
    <col min="1" max="1" width="7.7109375" style="1" customWidth="1"/>
    <col min="2" max="2" width="17.140625" style="1" customWidth="1"/>
    <col min="3" max="3" width="16.5703125" style="1" customWidth="1"/>
    <col min="4" max="4" width="10.5703125" style="1" customWidth="1"/>
    <col min="5" max="5" width="3.28515625" style="1" customWidth="1"/>
    <col min="6" max="6" width="11" style="1" customWidth="1"/>
    <col min="7" max="7" width="16.42578125" style="1" customWidth="1"/>
    <col min="8" max="8" width="17.7109375" style="1" customWidth="1"/>
    <col min="9" max="9" width="8.85546875" style="1" customWidth="1"/>
    <col min="10" max="10" width="13.7109375" style="1" customWidth="1"/>
    <col min="11" max="12" width="7.42578125" style="1" customWidth="1"/>
    <col min="13" max="13" width="11.42578125" style="1" customWidth="1"/>
    <col min="14" max="16384" width="11.42578125" style="1"/>
  </cols>
  <sheetData>
    <row r="1" spans="1:12" ht="29.25" customHeight="1" x14ac:dyDescent="0.25">
      <c r="A1" s="44"/>
      <c r="B1" s="23"/>
      <c r="C1" s="37" t="s">
        <v>0</v>
      </c>
      <c r="D1" s="16"/>
      <c r="E1" s="16"/>
      <c r="F1" s="16"/>
      <c r="G1" s="16"/>
      <c r="H1" s="16"/>
      <c r="I1" s="16"/>
      <c r="J1" s="17"/>
      <c r="K1" s="31" t="s">
        <v>1</v>
      </c>
      <c r="L1" s="17"/>
    </row>
    <row r="2" spans="1:12" ht="15" x14ac:dyDescent="0.25">
      <c r="A2" s="40"/>
      <c r="B2" s="42"/>
      <c r="C2" s="39" t="s">
        <v>2</v>
      </c>
      <c r="D2" s="22"/>
      <c r="E2" s="22"/>
      <c r="F2" s="22"/>
      <c r="G2" s="22"/>
      <c r="H2" s="22"/>
      <c r="I2" s="22"/>
      <c r="J2" s="23"/>
      <c r="K2" s="32" t="s">
        <v>3</v>
      </c>
      <c r="L2" s="17"/>
    </row>
    <row r="3" spans="1:12" ht="14.25" customHeight="1" x14ac:dyDescent="0.2">
      <c r="A3" s="40"/>
      <c r="B3" s="42"/>
      <c r="C3" s="40"/>
      <c r="D3" s="41"/>
      <c r="E3" s="41"/>
      <c r="F3" s="41"/>
      <c r="G3" s="41"/>
      <c r="H3" s="41"/>
      <c r="I3" s="41"/>
      <c r="J3" s="42"/>
      <c r="K3" s="31" t="s">
        <v>4</v>
      </c>
      <c r="L3" s="23"/>
    </row>
    <row r="4" spans="1:12" ht="24.75" customHeight="1" x14ac:dyDescent="0.2">
      <c r="A4" s="24"/>
      <c r="B4" s="26"/>
      <c r="C4" s="24"/>
      <c r="D4" s="25"/>
      <c r="E4" s="25"/>
      <c r="F4" s="25"/>
      <c r="G4" s="25"/>
      <c r="H4" s="25"/>
      <c r="I4" s="25"/>
      <c r="J4" s="26"/>
      <c r="K4" s="24"/>
      <c r="L4" s="26"/>
    </row>
    <row r="5" spans="1:12" ht="15" customHeight="1" x14ac:dyDescent="0.25">
      <c r="A5" s="28" t="s">
        <v>5</v>
      </c>
      <c r="B5" s="16"/>
      <c r="C5" s="16"/>
      <c r="D5" s="16"/>
      <c r="E5" s="16"/>
      <c r="F5" s="16"/>
      <c r="G5" s="16"/>
      <c r="H5" s="16"/>
      <c r="I5" s="16"/>
      <c r="J5" s="16"/>
      <c r="K5" s="16"/>
      <c r="L5" s="17"/>
    </row>
    <row r="6" spans="1:12" ht="23.25" customHeight="1" x14ac:dyDescent="0.25">
      <c r="A6" s="27" t="s">
        <v>6</v>
      </c>
      <c r="B6" s="17"/>
      <c r="C6" s="30" t="s">
        <v>7</v>
      </c>
      <c r="D6" s="16"/>
      <c r="E6" s="16"/>
      <c r="F6" s="17"/>
      <c r="G6" s="13" t="s">
        <v>8</v>
      </c>
      <c r="H6" s="38" t="s">
        <v>9</v>
      </c>
      <c r="I6" s="16"/>
      <c r="J6" s="16"/>
      <c r="K6" s="16"/>
      <c r="L6" s="17"/>
    </row>
    <row r="7" spans="1:12" ht="23.25" customHeight="1" x14ac:dyDescent="0.25">
      <c r="A7" s="27" t="s">
        <v>10</v>
      </c>
      <c r="B7" s="17"/>
      <c r="C7" s="38" t="s">
        <v>11</v>
      </c>
      <c r="D7" s="16"/>
      <c r="E7" s="16"/>
      <c r="F7" s="17"/>
      <c r="G7" s="13" t="s">
        <v>12</v>
      </c>
      <c r="H7" s="38" t="s">
        <v>13</v>
      </c>
      <c r="I7" s="16"/>
      <c r="J7" s="16"/>
      <c r="K7" s="16"/>
      <c r="L7" s="17"/>
    </row>
    <row r="8" spans="1:12" ht="23.25" customHeight="1" x14ac:dyDescent="0.25">
      <c r="A8" s="27" t="s">
        <v>14</v>
      </c>
      <c r="B8" s="17"/>
      <c r="C8" s="38" t="s">
        <v>15</v>
      </c>
      <c r="D8" s="16"/>
      <c r="E8" s="16"/>
      <c r="F8" s="17"/>
      <c r="G8" s="13" t="s">
        <v>16</v>
      </c>
      <c r="H8" s="45" t="s">
        <v>17</v>
      </c>
      <c r="I8" s="16"/>
      <c r="J8" s="16"/>
      <c r="K8" s="16"/>
      <c r="L8" s="17"/>
    </row>
    <row r="9" spans="1:12" ht="23.25" customHeight="1" x14ac:dyDescent="0.25">
      <c r="A9" s="27" t="s">
        <v>18</v>
      </c>
      <c r="B9" s="17"/>
      <c r="C9" s="38" t="s">
        <v>19</v>
      </c>
      <c r="D9" s="16"/>
      <c r="E9" s="16"/>
      <c r="F9" s="17"/>
      <c r="G9" s="13" t="s">
        <v>20</v>
      </c>
      <c r="H9" s="38" t="s">
        <v>21</v>
      </c>
      <c r="I9" s="16"/>
      <c r="J9" s="16"/>
      <c r="K9" s="16"/>
      <c r="L9" s="17"/>
    </row>
    <row r="10" spans="1:12" ht="15" customHeight="1" x14ac:dyDescent="0.25">
      <c r="A10" s="28" t="s">
        <v>22</v>
      </c>
      <c r="B10" s="16"/>
      <c r="C10" s="16"/>
      <c r="D10" s="16"/>
      <c r="E10" s="16"/>
      <c r="F10" s="16"/>
      <c r="G10" s="16"/>
      <c r="H10" s="16"/>
      <c r="I10" s="16"/>
      <c r="J10" s="16"/>
      <c r="K10" s="16"/>
      <c r="L10" s="17"/>
    </row>
    <row r="11" spans="1:12" ht="15" customHeight="1" x14ac:dyDescent="0.25">
      <c r="A11" s="21" t="s">
        <v>23</v>
      </c>
      <c r="B11" s="22"/>
      <c r="C11" s="22"/>
      <c r="D11" s="22"/>
      <c r="E11" s="22"/>
      <c r="F11" s="23"/>
      <c r="G11" s="21" t="s">
        <v>24</v>
      </c>
      <c r="H11" s="22"/>
      <c r="I11" s="22"/>
      <c r="J11" s="23"/>
      <c r="K11" s="21" t="s">
        <v>25</v>
      </c>
      <c r="L11" s="17"/>
    </row>
    <row r="12" spans="1:12" ht="15" customHeight="1" x14ac:dyDescent="0.2">
      <c r="A12" s="24"/>
      <c r="B12" s="25"/>
      <c r="C12" s="25"/>
      <c r="D12" s="25"/>
      <c r="E12" s="25"/>
      <c r="F12" s="26"/>
      <c r="G12" s="24"/>
      <c r="H12" s="25"/>
      <c r="I12" s="25"/>
      <c r="J12" s="26"/>
      <c r="K12" s="12" t="s">
        <v>26</v>
      </c>
      <c r="L12" s="12" t="s">
        <v>27</v>
      </c>
    </row>
    <row r="13" spans="1:12" s="2" customFormat="1" ht="15" customHeight="1" x14ac:dyDescent="0.25">
      <c r="A13" s="14">
        <v>1</v>
      </c>
      <c r="B13" s="43"/>
      <c r="C13" s="16"/>
      <c r="D13" s="16"/>
      <c r="E13" s="16"/>
      <c r="F13" s="17"/>
      <c r="G13" s="33"/>
      <c r="H13" s="16"/>
      <c r="I13" s="16"/>
      <c r="J13" s="17"/>
      <c r="K13" s="4"/>
      <c r="L13" s="5"/>
    </row>
    <row r="14" spans="1:12" ht="15" customHeight="1" x14ac:dyDescent="0.25">
      <c r="A14" s="14">
        <v>2</v>
      </c>
      <c r="B14" s="46"/>
      <c r="C14" s="16"/>
      <c r="D14" s="16"/>
      <c r="E14" s="16"/>
      <c r="F14" s="17"/>
      <c r="G14" s="33"/>
      <c r="H14" s="16"/>
      <c r="I14" s="16"/>
      <c r="J14" s="17"/>
      <c r="K14" s="4"/>
      <c r="L14" s="6"/>
    </row>
    <row r="15" spans="1:12" ht="15" customHeight="1" x14ac:dyDescent="0.25">
      <c r="A15" s="14">
        <v>3</v>
      </c>
      <c r="B15" s="35"/>
      <c r="C15" s="16"/>
      <c r="D15" s="16"/>
      <c r="E15" s="16"/>
      <c r="F15" s="17"/>
      <c r="G15" s="33"/>
      <c r="H15" s="16"/>
      <c r="I15" s="16"/>
      <c r="J15" s="17"/>
      <c r="K15" s="4"/>
      <c r="L15" s="6"/>
    </row>
    <row r="16" spans="1:12" ht="15" x14ac:dyDescent="0.25">
      <c r="A16" s="14">
        <v>4</v>
      </c>
      <c r="B16" s="15"/>
      <c r="C16" s="16"/>
      <c r="D16" s="16"/>
      <c r="E16" s="16"/>
      <c r="F16" s="17"/>
      <c r="G16" s="33"/>
      <c r="H16" s="16"/>
      <c r="I16" s="16"/>
      <c r="J16" s="17"/>
      <c r="K16" s="4"/>
      <c r="L16" s="3"/>
    </row>
    <row r="17" spans="1:12" ht="15" x14ac:dyDescent="0.25">
      <c r="A17" s="14">
        <v>5</v>
      </c>
      <c r="B17" s="15"/>
      <c r="C17" s="16"/>
      <c r="D17" s="16"/>
      <c r="E17" s="16"/>
      <c r="F17" s="17"/>
      <c r="G17" s="33"/>
      <c r="H17" s="16"/>
      <c r="I17" s="16"/>
      <c r="J17" s="17"/>
      <c r="K17" s="4"/>
      <c r="L17" s="3"/>
    </row>
    <row r="18" spans="1:12" ht="15" x14ac:dyDescent="0.25">
      <c r="A18" s="14">
        <v>6</v>
      </c>
      <c r="B18" s="15"/>
      <c r="C18" s="16"/>
      <c r="D18" s="16"/>
      <c r="E18" s="16"/>
      <c r="F18" s="17"/>
      <c r="G18" s="33"/>
      <c r="H18" s="16"/>
      <c r="I18" s="16"/>
      <c r="J18" s="17"/>
      <c r="K18" s="4"/>
      <c r="L18" s="3"/>
    </row>
    <row r="19" spans="1:12" ht="15" x14ac:dyDescent="0.25">
      <c r="A19" s="14">
        <v>7</v>
      </c>
      <c r="B19" s="15"/>
      <c r="C19" s="16"/>
      <c r="D19" s="16"/>
      <c r="E19" s="16"/>
      <c r="F19" s="17"/>
      <c r="G19" s="33"/>
      <c r="H19" s="16"/>
      <c r="I19" s="16"/>
      <c r="J19" s="17"/>
      <c r="K19" s="4"/>
      <c r="L19" s="3"/>
    </row>
    <row r="20" spans="1:12" ht="15" x14ac:dyDescent="0.25">
      <c r="A20" s="14">
        <v>8</v>
      </c>
      <c r="B20" s="15"/>
      <c r="C20" s="16"/>
      <c r="D20" s="16"/>
      <c r="E20" s="16"/>
      <c r="F20" s="17"/>
      <c r="G20" s="33"/>
      <c r="H20" s="16"/>
      <c r="I20" s="16"/>
      <c r="J20" s="17"/>
      <c r="K20" s="4"/>
      <c r="L20" s="3"/>
    </row>
    <row r="21" spans="1:12" ht="15" x14ac:dyDescent="0.25">
      <c r="A21" s="14">
        <v>9</v>
      </c>
      <c r="B21" s="15"/>
      <c r="C21" s="16"/>
      <c r="D21" s="16"/>
      <c r="E21" s="16"/>
      <c r="F21" s="17"/>
      <c r="G21" s="33"/>
      <c r="H21" s="16"/>
      <c r="I21" s="16"/>
      <c r="J21" s="17"/>
      <c r="K21" s="4"/>
      <c r="L21" s="3"/>
    </row>
    <row r="22" spans="1:12" ht="15" x14ac:dyDescent="0.25">
      <c r="A22" s="14">
        <v>10</v>
      </c>
      <c r="B22" s="15"/>
      <c r="C22" s="16"/>
      <c r="D22" s="16"/>
      <c r="E22" s="16"/>
      <c r="F22" s="17"/>
      <c r="G22" s="33"/>
      <c r="H22" s="16"/>
      <c r="I22" s="16"/>
      <c r="J22" s="17"/>
      <c r="K22" s="4"/>
      <c r="L22" s="3"/>
    </row>
    <row r="23" spans="1:12" ht="15" x14ac:dyDescent="0.25">
      <c r="A23" s="29"/>
      <c r="B23" s="16"/>
      <c r="C23" s="16"/>
      <c r="D23" s="16"/>
      <c r="E23" s="16"/>
      <c r="F23" s="16"/>
      <c r="G23" s="16"/>
      <c r="H23" s="16"/>
      <c r="I23" s="16"/>
      <c r="J23" s="16"/>
      <c r="K23" s="16"/>
      <c r="L23" s="17"/>
    </row>
    <row r="24" spans="1:12" ht="15" customHeight="1" x14ac:dyDescent="0.25">
      <c r="A24" s="28" t="s">
        <v>28</v>
      </c>
      <c r="B24" s="16"/>
      <c r="C24" s="16"/>
      <c r="D24" s="16"/>
      <c r="E24" s="16"/>
      <c r="F24" s="16"/>
      <c r="G24" s="16"/>
      <c r="H24" s="16"/>
      <c r="I24" s="16"/>
      <c r="J24" s="16"/>
      <c r="K24" s="16"/>
      <c r="L24" s="17"/>
    </row>
    <row r="25" spans="1:12" ht="15" customHeight="1" x14ac:dyDescent="0.25">
      <c r="A25" s="20"/>
      <c r="B25" s="16"/>
      <c r="C25" s="16"/>
      <c r="D25" s="16"/>
      <c r="E25" s="16"/>
      <c r="F25" s="16"/>
      <c r="G25" s="16"/>
      <c r="H25" s="16"/>
      <c r="I25" s="16"/>
      <c r="J25" s="16"/>
      <c r="K25" s="16"/>
      <c r="L25" s="17"/>
    </row>
    <row r="26" spans="1:12" ht="15" customHeight="1" x14ac:dyDescent="0.25">
      <c r="A26" s="20"/>
      <c r="B26" s="16"/>
      <c r="C26" s="16"/>
      <c r="D26" s="16"/>
      <c r="E26" s="16"/>
      <c r="F26" s="16"/>
      <c r="G26" s="16"/>
      <c r="H26" s="16"/>
      <c r="I26" s="16"/>
      <c r="J26" s="16"/>
      <c r="K26" s="16"/>
      <c r="L26" s="17"/>
    </row>
    <row r="27" spans="1:12" ht="15" customHeight="1" x14ac:dyDescent="0.25">
      <c r="A27" s="20"/>
      <c r="B27" s="16"/>
      <c r="C27" s="16"/>
      <c r="D27" s="16"/>
      <c r="E27" s="16"/>
      <c r="F27" s="16"/>
      <c r="G27" s="16"/>
      <c r="H27" s="16"/>
      <c r="I27" s="16"/>
      <c r="J27" s="16"/>
      <c r="K27" s="16"/>
      <c r="L27" s="17"/>
    </row>
    <row r="28" spans="1:12" ht="15" customHeight="1" x14ac:dyDescent="0.25">
      <c r="A28" s="28" t="s">
        <v>29</v>
      </c>
      <c r="B28" s="16"/>
      <c r="C28" s="16"/>
      <c r="D28" s="16"/>
      <c r="E28" s="16"/>
      <c r="F28" s="16"/>
      <c r="G28" s="16"/>
      <c r="H28" s="16"/>
      <c r="I28" s="16"/>
      <c r="J28" s="16"/>
      <c r="K28" s="16"/>
      <c r="L28" s="17"/>
    </row>
    <row r="29" spans="1:12" ht="15" x14ac:dyDescent="0.25">
      <c r="A29" s="10">
        <v>1</v>
      </c>
      <c r="B29" s="19"/>
      <c r="C29" s="16"/>
      <c r="D29" s="16"/>
      <c r="E29" s="16"/>
      <c r="F29" s="16"/>
      <c r="G29" s="16"/>
      <c r="H29" s="16"/>
      <c r="I29" s="16"/>
      <c r="J29" s="16"/>
      <c r="K29" s="16"/>
      <c r="L29" s="17"/>
    </row>
    <row r="30" spans="1:12" ht="15" x14ac:dyDescent="0.25">
      <c r="A30" s="10">
        <v>2</v>
      </c>
      <c r="B30" s="19"/>
      <c r="C30" s="16"/>
      <c r="D30" s="16"/>
      <c r="E30" s="16"/>
      <c r="F30" s="16"/>
      <c r="G30" s="16"/>
      <c r="H30" s="16"/>
      <c r="I30" s="16"/>
      <c r="J30" s="16"/>
      <c r="K30" s="16"/>
      <c r="L30" s="17"/>
    </row>
    <row r="31" spans="1:12" ht="15" x14ac:dyDescent="0.25">
      <c r="A31" s="10">
        <v>3</v>
      </c>
      <c r="B31" s="19"/>
      <c r="C31" s="16"/>
      <c r="D31" s="16"/>
      <c r="E31" s="16"/>
      <c r="F31" s="16"/>
      <c r="G31" s="16"/>
      <c r="H31" s="16"/>
      <c r="I31" s="16"/>
      <c r="J31" s="16"/>
      <c r="K31" s="16"/>
      <c r="L31" s="17"/>
    </row>
    <row r="32" spans="1:12" ht="15" x14ac:dyDescent="0.25">
      <c r="A32" s="10">
        <v>4</v>
      </c>
      <c r="B32" s="19"/>
      <c r="C32" s="16"/>
      <c r="D32" s="16"/>
      <c r="E32" s="16"/>
      <c r="F32" s="16"/>
      <c r="G32" s="16"/>
      <c r="H32" s="16"/>
      <c r="I32" s="16"/>
      <c r="J32" s="16"/>
      <c r="K32" s="16"/>
      <c r="L32" s="17"/>
    </row>
    <row r="33" spans="1:12" ht="15" x14ac:dyDescent="0.25">
      <c r="A33" s="10">
        <v>5</v>
      </c>
      <c r="B33" s="19"/>
      <c r="C33" s="16"/>
      <c r="D33" s="16"/>
      <c r="E33" s="16"/>
      <c r="F33" s="16"/>
      <c r="G33" s="16"/>
      <c r="H33" s="16"/>
      <c r="I33" s="16"/>
      <c r="J33" s="16"/>
      <c r="K33" s="16"/>
      <c r="L33" s="17"/>
    </row>
    <row r="34" spans="1:12" ht="15" customHeight="1" x14ac:dyDescent="0.25">
      <c r="A34" s="28" t="s">
        <v>30</v>
      </c>
      <c r="B34" s="16"/>
      <c r="C34" s="16"/>
      <c r="D34" s="16"/>
      <c r="E34" s="16"/>
      <c r="F34" s="16"/>
      <c r="G34" s="16"/>
      <c r="H34" s="16"/>
      <c r="I34" s="16"/>
      <c r="J34" s="16"/>
      <c r="K34" s="16"/>
      <c r="L34" s="17"/>
    </row>
    <row r="35" spans="1:12" ht="15" x14ac:dyDescent="0.25">
      <c r="A35" s="10">
        <v>1</v>
      </c>
      <c r="B35" s="19"/>
      <c r="C35" s="16"/>
      <c r="D35" s="16"/>
      <c r="E35" s="16"/>
      <c r="F35" s="16"/>
      <c r="G35" s="16"/>
      <c r="H35" s="16"/>
      <c r="I35" s="16"/>
      <c r="J35" s="16"/>
      <c r="K35" s="16"/>
      <c r="L35" s="17"/>
    </row>
    <row r="36" spans="1:12" ht="15" x14ac:dyDescent="0.25">
      <c r="A36" s="10">
        <v>2</v>
      </c>
      <c r="B36" s="19"/>
      <c r="C36" s="16"/>
      <c r="D36" s="16"/>
      <c r="E36" s="16"/>
      <c r="F36" s="16"/>
      <c r="G36" s="16"/>
      <c r="H36" s="16"/>
      <c r="I36" s="16"/>
      <c r="J36" s="16"/>
      <c r="K36" s="16"/>
      <c r="L36" s="17"/>
    </row>
    <row r="37" spans="1:12" ht="15" x14ac:dyDescent="0.25">
      <c r="A37" s="10">
        <v>3</v>
      </c>
      <c r="B37" s="19"/>
      <c r="C37" s="16"/>
      <c r="D37" s="16"/>
      <c r="E37" s="16"/>
      <c r="F37" s="16"/>
      <c r="G37" s="16"/>
      <c r="H37" s="16"/>
      <c r="I37" s="16"/>
      <c r="J37" s="16"/>
      <c r="K37" s="16"/>
      <c r="L37" s="17"/>
    </row>
    <row r="38" spans="1:12" ht="15" x14ac:dyDescent="0.25">
      <c r="A38" s="10">
        <v>4</v>
      </c>
      <c r="B38" s="19"/>
      <c r="C38" s="16"/>
      <c r="D38" s="16"/>
      <c r="E38" s="16"/>
      <c r="F38" s="16"/>
      <c r="G38" s="16"/>
      <c r="H38" s="16"/>
      <c r="I38" s="16"/>
      <c r="J38" s="16"/>
      <c r="K38" s="16"/>
      <c r="L38" s="17"/>
    </row>
    <row r="39" spans="1:12" ht="15" x14ac:dyDescent="0.25">
      <c r="A39" s="10">
        <v>5</v>
      </c>
      <c r="B39" s="19"/>
      <c r="C39" s="16"/>
      <c r="D39" s="16"/>
      <c r="E39" s="16"/>
      <c r="F39" s="16"/>
      <c r="G39" s="16"/>
      <c r="H39" s="16"/>
      <c r="I39" s="16"/>
      <c r="J39" s="16"/>
      <c r="K39" s="16"/>
      <c r="L39" s="17"/>
    </row>
    <row r="40" spans="1:12" ht="15" x14ac:dyDescent="0.25">
      <c r="A40" s="29"/>
      <c r="B40" s="16"/>
      <c r="C40" s="16"/>
      <c r="D40" s="16"/>
      <c r="E40" s="16"/>
      <c r="F40" s="16"/>
      <c r="G40" s="16"/>
      <c r="H40" s="16"/>
      <c r="I40" s="16"/>
      <c r="J40" s="16"/>
      <c r="K40" s="16"/>
      <c r="L40" s="17"/>
    </row>
    <row r="41" spans="1:12" ht="15" customHeight="1" x14ac:dyDescent="0.25">
      <c r="A41" s="28" t="s">
        <v>31</v>
      </c>
      <c r="B41" s="17"/>
      <c r="C41" s="28" t="s">
        <v>32</v>
      </c>
      <c r="D41" s="16"/>
      <c r="E41" s="16"/>
      <c r="F41" s="16"/>
      <c r="G41" s="17"/>
      <c r="H41" s="28" t="s">
        <v>33</v>
      </c>
      <c r="I41" s="16"/>
      <c r="J41" s="17"/>
      <c r="K41" s="28" t="s">
        <v>34</v>
      </c>
      <c r="L41" s="17"/>
    </row>
    <row r="42" spans="1:12" ht="15" customHeight="1" x14ac:dyDescent="0.25">
      <c r="A42" s="10">
        <v>1</v>
      </c>
      <c r="B42" s="7"/>
      <c r="C42" s="18"/>
      <c r="D42" s="16"/>
      <c r="E42" s="16"/>
      <c r="F42" s="16"/>
      <c r="G42" s="17"/>
      <c r="H42" s="34"/>
      <c r="I42" s="16"/>
      <c r="J42" s="17"/>
      <c r="K42" s="29"/>
      <c r="L42" s="17"/>
    </row>
    <row r="43" spans="1:12" ht="15" customHeight="1" x14ac:dyDescent="0.25">
      <c r="A43" s="10">
        <v>2</v>
      </c>
      <c r="B43" s="7"/>
      <c r="C43" s="18"/>
      <c r="D43" s="16"/>
      <c r="E43" s="16"/>
      <c r="F43" s="16"/>
      <c r="G43" s="17"/>
      <c r="H43" s="34"/>
      <c r="I43" s="16"/>
      <c r="J43" s="17"/>
      <c r="K43" s="29"/>
      <c r="L43" s="17"/>
    </row>
    <row r="44" spans="1:12" ht="15" customHeight="1" x14ac:dyDescent="0.25">
      <c r="A44" s="10">
        <v>3</v>
      </c>
      <c r="B44" s="7"/>
      <c r="C44" s="18"/>
      <c r="D44" s="16"/>
      <c r="E44" s="16"/>
      <c r="F44" s="16"/>
      <c r="G44" s="17"/>
      <c r="H44" s="34"/>
      <c r="I44" s="16"/>
      <c r="J44" s="17"/>
      <c r="K44" s="29"/>
      <c r="L44" s="17"/>
    </row>
    <row r="45" spans="1:12" ht="15" customHeight="1" x14ac:dyDescent="0.25">
      <c r="A45" s="10">
        <v>4</v>
      </c>
      <c r="B45" s="7"/>
      <c r="C45" s="18"/>
      <c r="D45" s="16"/>
      <c r="E45" s="16"/>
      <c r="F45" s="16"/>
      <c r="G45" s="17"/>
      <c r="H45" s="34"/>
      <c r="I45" s="16"/>
      <c r="J45" s="17"/>
      <c r="K45" s="29"/>
      <c r="L45" s="17"/>
    </row>
    <row r="46" spans="1:12" ht="15" customHeight="1" x14ac:dyDescent="0.25">
      <c r="A46" s="10">
        <v>5</v>
      </c>
      <c r="B46" s="7"/>
      <c r="C46" s="18"/>
      <c r="D46" s="16"/>
      <c r="E46" s="16"/>
      <c r="F46" s="16"/>
      <c r="G46" s="17"/>
      <c r="H46" s="34"/>
      <c r="I46" s="16"/>
      <c r="J46" s="17"/>
      <c r="K46" s="29"/>
      <c r="L46" s="17"/>
    </row>
    <row r="47" spans="1:12" ht="15" customHeight="1" x14ac:dyDescent="0.25">
      <c r="A47" s="7"/>
      <c r="B47" s="7"/>
      <c r="C47" s="18"/>
      <c r="D47" s="16"/>
      <c r="E47" s="16"/>
      <c r="F47" s="16"/>
      <c r="G47" s="17"/>
      <c r="H47" s="34"/>
      <c r="I47" s="16"/>
      <c r="J47" s="17"/>
      <c r="K47" s="29"/>
      <c r="L47" s="17"/>
    </row>
    <row r="48" spans="1:12" ht="38.25" customHeight="1" x14ac:dyDescent="0.25">
      <c r="A48" s="11" t="s">
        <v>35</v>
      </c>
      <c r="B48" s="10">
        <f>COUNTA(B29)</f>
        <v>0</v>
      </c>
      <c r="C48" s="8" t="s">
        <v>36</v>
      </c>
      <c r="D48" s="10">
        <f>COUNTA(B35:L39)</f>
        <v>0</v>
      </c>
      <c r="E48" s="36" t="s">
        <v>37</v>
      </c>
      <c r="F48" s="17"/>
      <c r="G48" s="10">
        <f>COUNTA(C42:G46)</f>
        <v>0</v>
      </c>
      <c r="H48" s="9" t="s">
        <v>38</v>
      </c>
      <c r="I48" s="10"/>
      <c r="J48" s="11" t="s">
        <v>39</v>
      </c>
      <c r="K48" s="47"/>
      <c r="L48" s="17"/>
    </row>
  </sheetData>
  <mergeCells count="85">
    <mergeCell ref="K48:L48"/>
    <mergeCell ref="H43:J43"/>
    <mergeCell ref="C9:F9"/>
    <mergeCell ref="H41:J41"/>
    <mergeCell ref="B36:L36"/>
    <mergeCell ref="G14:J14"/>
    <mergeCell ref="A6:B6"/>
    <mergeCell ref="H9:L9"/>
    <mergeCell ref="C41:G41"/>
    <mergeCell ref="B14:F14"/>
    <mergeCell ref="C43:G43"/>
    <mergeCell ref="A10:L10"/>
    <mergeCell ref="G17:J17"/>
    <mergeCell ref="A28:L28"/>
    <mergeCell ref="G19:J19"/>
    <mergeCell ref="C2:J4"/>
    <mergeCell ref="H46:J46"/>
    <mergeCell ref="A25:L25"/>
    <mergeCell ref="C8:F8"/>
    <mergeCell ref="G16:J16"/>
    <mergeCell ref="K45:L45"/>
    <mergeCell ref="H45:J45"/>
    <mergeCell ref="B21:F21"/>
    <mergeCell ref="K11:L11"/>
    <mergeCell ref="H6:L6"/>
    <mergeCell ref="K44:L44"/>
    <mergeCell ref="K46:L46"/>
    <mergeCell ref="B13:F13"/>
    <mergeCell ref="G13:J13"/>
    <mergeCell ref="B30:L30"/>
    <mergeCell ref="A1:B4"/>
    <mergeCell ref="E48:F48"/>
    <mergeCell ref="G22:J22"/>
    <mergeCell ref="C1:J1"/>
    <mergeCell ref="A5:L5"/>
    <mergeCell ref="K1:L1"/>
    <mergeCell ref="K41:L41"/>
    <mergeCell ref="G21:J21"/>
    <mergeCell ref="B17:F17"/>
    <mergeCell ref="H42:J42"/>
    <mergeCell ref="K43:L43"/>
    <mergeCell ref="H7:L7"/>
    <mergeCell ref="C46:G46"/>
    <mergeCell ref="B29:L29"/>
    <mergeCell ref="B19:F19"/>
    <mergeCell ref="B37:L37"/>
    <mergeCell ref="A40:L40"/>
    <mergeCell ref="C6:F6"/>
    <mergeCell ref="K3:L4"/>
    <mergeCell ref="B38:L38"/>
    <mergeCell ref="K2:L2"/>
    <mergeCell ref="K42:L42"/>
    <mergeCell ref="A34:L34"/>
    <mergeCell ref="G18:J18"/>
    <mergeCell ref="B20:F20"/>
    <mergeCell ref="B15:F15"/>
    <mergeCell ref="B33:L33"/>
    <mergeCell ref="A9:B9"/>
    <mergeCell ref="B32:L32"/>
    <mergeCell ref="G11:J12"/>
    <mergeCell ref="B35:L35"/>
    <mergeCell ref="C42:G42"/>
    <mergeCell ref="G20:J20"/>
    <mergeCell ref="A11:F12"/>
    <mergeCell ref="A7:B7"/>
    <mergeCell ref="C47:G47"/>
    <mergeCell ref="A41:B41"/>
    <mergeCell ref="B39:L39"/>
    <mergeCell ref="A23:L23"/>
    <mergeCell ref="C44:G44"/>
    <mergeCell ref="H44:J44"/>
    <mergeCell ref="A8:B8"/>
    <mergeCell ref="A24:L24"/>
    <mergeCell ref="K47:L47"/>
    <mergeCell ref="H47:J47"/>
    <mergeCell ref="G15:J15"/>
    <mergeCell ref="H8:L8"/>
    <mergeCell ref="C7:F7"/>
    <mergeCell ref="B22:F22"/>
    <mergeCell ref="B16:F16"/>
    <mergeCell ref="C45:G45"/>
    <mergeCell ref="B31:L31"/>
    <mergeCell ref="B18:F18"/>
    <mergeCell ref="A26:L26"/>
    <mergeCell ref="A27:L27"/>
  </mergeCells>
  <dataValidations count="1">
    <dataValidation type="whole" allowBlank="1" showInputMessage="1" showErrorMessage="1" sqref="I48 K48:L48" xr:uid="{00000000-0002-0000-0000-000000000000}">
      <formula1>1</formula1>
      <formula2>5</formula2>
    </dataValidation>
  </dataValidations>
  <pageMargins left="0.7" right="0.7" top="0.75" bottom="0.75" header="0.3" footer="0.3"/>
  <pageSetup paperSize="9" orientation="portrait"/>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1"/>
  <sheetViews>
    <sheetView tabSelected="1" topLeftCell="A34" workbookViewId="0">
      <selection activeCell="D4" sqref="D4"/>
    </sheetView>
  </sheetViews>
  <sheetFormatPr baseColWidth="10" defaultColWidth="9.140625" defaultRowHeight="15" x14ac:dyDescent="0.25"/>
  <cols>
    <col min="1" max="1" width="8.5703125" customWidth="1"/>
    <col min="2" max="2" width="24.42578125" customWidth="1"/>
    <col min="3" max="3" width="20.5703125" customWidth="1"/>
    <col min="4" max="4" width="68.42578125" customWidth="1"/>
    <col min="5" max="5" width="99.7109375" customWidth="1"/>
  </cols>
  <sheetData>
    <row r="1" spans="1:5" x14ac:dyDescent="0.25">
      <c r="A1" s="48" t="s">
        <v>40</v>
      </c>
      <c r="B1" s="48" t="s">
        <v>41</v>
      </c>
      <c r="C1" s="48" t="s">
        <v>42</v>
      </c>
      <c r="D1" s="48" t="s">
        <v>43</v>
      </c>
      <c r="E1" s="49" t="s">
        <v>44</v>
      </c>
    </row>
    <row r="2" spans="1:5" ht="60" x14ac:dyDescent="0.25">
      <c r="A2" s="50" t="s">
        <v>45</v>
      </c>
      <c r="B2" s="50" t="s">
        <v>9</v>
      </c>
      <c r="C2" s="50" t="str">
        <f>+LISTADO!$H$7</f>
        <v>Estefanía Granda / Luis Arango</v>
      </c>
      <c r="D2" s="50" t="s">
        <v>46</v>
      </c>
      <c r="E2" s="50" t="s">
        <v>47</v>
      </c>
    </row>
    <row r="3" spans="1:5" ht="60" x14ac:dyDescent="0.25">
      <c r="A3" s="50" t="s">
        <v>45</v>
      </c>
      <c r="B3" s="50" t="s">
        <v>9</v>
      </c>
      <c r="C3" s="50" t="str">
        <f>+LISTADO!$H$7</f>
        <v>Estefanía Granda / Luis Arango</v>
      </c>
      <c r="D3" s="50" t="s">
        <v>46</v>
      </c>
      <c r="E3" s="50" t="s">
        <v>48</v>
      </c>
    </row>
    <row r="4" spans="1:5" ht="60" x14ac:dyDescent="0.25">
      <c r="A4" s="50" t="s">
        <v>45</v>
      </c>
      <c r="B4" s="50" t="s">
        <v>9</v>
      </c>
      <c r="C4" s="50" t="str">
        <f>+LISTADO!$H$7</f>
        <v>Estefanía Granda / Luis Arango</v>
      </c>
      <c r="D4" s="50" t="s">
        <v>46</v>
      </c>
      <c r="E4" s="50" t="s">
        <v>49</v>
      </c>
    </row>
    <row r="5" spans="1:5" ht="60" x14ac:dyDescent="0.25">
      <c r="A5" s="50" t="s">
        <v>45</v>
      </c>
      <c r="B5" s="50" t="s">
        <v>9</v>
      </c>
      <c r="C5" s="50" t="str">
        <f>+LISTADO!$H$7</f>
        <v>Estefanía Granda / Luis Arango</v>
      </c>
      <c r="D5" s="50" t="s">
        <v>46</v>
      </c>
      <c r="E5" s="50" t="s">
        <v>50</v>
      </c>
    </row>
    <row r="6" spans="1:5" ht="75" x14ac:dyDescent="0.25">
      <c r="A6" s="50" t="s">
        <v>45</v>
      </c>
      <c r="B6" s="50" t="s">
        <v>9</v>
      </c>
      <c r="C6" s="50" t="str">
        <f>+LISTADO!$H$7</f>
        <v>Estefanía Granda / Luis Arango</v>
      </c>
      <c r="D6" s="50" t="s">
        <v>46</v>
      </c>
      <c r="E6" s="50" t="s">
        <v>51</v>
      </c>
    </row>
    <row r="7" spans="1:5" ht="60" x14ac:dyDescent="0.25">
      <c r="A7" s="50" t="s">
        <v>45</v>
      </c>
      <c r="B7" s="50" t="s">
        <v>9</v>
      </c>
      <c r="C7" s="50" t="str">
        <f>+LISTADO!$H$7</f>
        <v>Estefanía Granda / Luis Arango</v>
      </c>
      <c r="D7" s="50" t="s">
        <v>46</v>
      </c>
      <c r="E7" s="50" t="s">
        <v>52</v>
      </c>
    </row>
    <row r="8" spans="1:5" ht="60" x14ac:dyDescent="0.25">
      <c r="A8" s="50" t="s">
        <v>45</v>
      </c>
      <c r="B8" s="50" t="s">
        <v>9</v>
      </c>
      <c r="C8" s="50" t="str">
        <f>+LISTADO!$H$7</f>
        <v>Estefanía Granda / Luis Arango</v>
      </c>
      <c r="D8" s="50" t="s">
        <v>46</v>
      </c>
      <c r="E8" s="50" t="s">
        <v>53</v>
      </c>
    </row>
    <row r="9" spans="1:5" ht="60" x14ac:dyDescent="0.25">
      <c r="A9" s="50" t="s">
        <v>45</v>
      </c>
      <c r="B9" s="50" t="s">
        <v>9</v>
      </c>
      <c r="C9" s="50" t="str">
        <f>+LISTADO!$H$7</f>
        <v>Estefanía Granda / Luis Arango</v>
      </c>
      <c r="D9" s="50" t="s">
        <v>46</v>
      </c>
      <c r="E9" s="50" t="s">
        <v>54</v>
      </c>
    </row>
    <row r="10" spans="1:5" ht="75" x14ac:dyDescent="0.25">
      <c r="A10" s="50" t="s">
        <v>45</v>
      </c>
      <c r="B10" s="50" t="s">
        <v>9</v>
      </c>
      <c r="C10" s="50" t="str">
        <f>+LISTADO!$H$7</f>
        <v>Estefanía Granda / Luis Arango</v>
      </c>
      <c r="D10" s="50" t="s">
        <v>46</v>
      </c>
      <c r="E10" s="50" t="s">
        <v>55</v>
      </c>
    </row>
    <row r="11" spans="1:5" ht="60" x14ac:dyDescent="0.25">
      <c r="A11" s="50" t="s">
        <v>45</v>
      </c>
      <c r="B11" s="50" t="s">
        <v>9</v>
      </c>
      <c r="C11" s="50" t="str">
        <f>+LISTADO!$H$7</f>
        <v>Estefanía Granda / Luis Arango</v>
      </c>
      <c r="D11" s="50" t="s">
        <v>46</v>
      </c>
      <c r="E11" s="50" t="s">
        <v>56</v>
      </c>
    </row>
    <row r="12" spans="1:5" ht="60" x14ac:dyDescent="0.25">
      <c r="A12" s="50" t="s">
        <v>57</v>
      </c>
      <c r="B12" s="50" t="s">
        <v>9</v>
      </c>
      <c r="C12" s="50" t="str">
        <f>+LISTADO!$H$7</f>
        <v>Estefanía Granda / Luis Arango</v>
      </c>
      <c r="D12" s="50" t="s">
        <v>58</v>
      </c>
      <c r="E12" s="50" t="s">
        <v>59</v>
      </c>
    </row>
    <row r="13" spans="1:5" ht="60" x14ac:dyDescent="0.25">
      <c r="A13" s="50" t="s">
        <v>57</v>
      </c>
      <c r="B13" s="50" t="s">
        <v>9</v>
      </c>
      <c r="C13" s="50" t="str">
        <f>+LISTADO!$H$7</f>
        <v>Estefanía Granda / Luis Arango</v>
      </c>
      <c r="D13" s="50" t="s">
        <v>58</v>
      </c>
      <c r="E13" s="50" t="s">
        <v>60</v>
      </c>
    </row>
    <row r="14" spans="1:5" ht="45" x14ac:dyDescent="0.25">
      <c r="A14" s="50" t="s">
        <v>57</v>
      </c>
      <c r="B14" s="50" t="s">
        <v>9</v>
      </c>
      <c r="C14" s="50" t="str">
        <f>+LISTADO!$H$7</f>
        <v>Estefanía Granda / Luis Arango</v>
      </c>
      <c r="D14" s="50" t="s">
        <v>58</v>
      </c>
      <c r="E14" s="50" t="s">
        <v>61</v>
      </c>
    </row>
    <row r="15" spans="1:5" ht="60" x14ac:dyDescent="0.25">
      <c r="A15" s="50" t="s">
        <v>57</v>
      </c>
      <c r="B15" s="50" t="s">
        <v>9</v>
      </c>
      <c r="C15" s="50" t="str">
        <f>+LISTADO!$H$7</f>
        <v>Estefanía Granda / Luis Arango</v>
      </c>
      <c r="D15" s="50" t="s">
        <v>58</v>
      </c>
      <c r="E15" s="50" t="s">
        <v>62</v>
      </c>
    </row>
    <row r="16" spans="1:5" ht="60" x14ac:dyDescent="0.25">
      <c r="A16" s="50" t="s">
        <v>57</v>
      </c>
      <c r="B16" s="50" t="s">
        <v>9</v>
      </c>
      <c r="C16" s="50" t="str">
        <f>+LISTADO!$H$7</f>
        <v>Estefanía Granda / Luis Arango</v>
      </c>
      <c r="D16" s="50" t="s">
        <v>58</v>
      </c>
      <c r="E16" s="50" t="s">
        <v>63</v>
      </c>
    </row>
    <row r="17" spans="1:5" ht="75" x14ac:dyDescent="0.25">
      <c r="A17" s="50" t="s">
        <v>57</v>
      </c>
      <c r="B17" s="50" t="s">
        <v>9</v>
      </c>
      <c r="C17" s="50" t="str">
        <f>+LISTADO!$H$7</f>
        <v>Estefanía Granda / Luis Arango</v>
      </c>
      <c r="D17" s="50" t="s">
        <v>58</v>
      </c>
      <c r="E17" s="50" t="s">
        <v>64</v>
      </c>
    </row>
    <row r="18" spans="1:5" ht="90" x14ac:dyDescent="0.25">
      <c r="A18" s="50" t="s">
        <v>57</v>
      </c>
      <c r="B18" s="50" t="s">
        <v>9</v>
      </c>
      <c r="C18" s="50" t="str">
        <f>+LISTADO!$H$7</f>
        <v>Estefanía Granda / Luis Arango</v>
      </c>
      <c r="D18" s="50" t="s">
        <v>58</v>
      </c>
      <c r="E18" s="50" t="s">
        <v>65</v>
      </c>
    </row>
    <row r="19" spans="1:5" ht="45" x14ac:dyDescent="0.25">
      <c r="A19" s="50" t="s">
        <v>57</v>
      </c>
      <c r="B19" s="50" t="s">
        <v>9</v>
      </c>
      <c r="C19" s="50" t="str">
        <f>+LISTADO!$H$7</f>
        <v>Estefanía Granda / Luis Arango</v>
      </c>
      <c r="D19" s="50" t="s">
        <v>58</v>
      </c>
      <c r="E19" s="50" t="s">
        <v>66</v>
      </c>
    </row>
    <row r="20" spans="1:5" ht="75" x14ac:dyDescent="0.25">
      <c r="A20" s="50" t="s">
        <v>57</v>
      </c>
      <c r="B20" s="50" t="s">
        <v>9</v>
      </c>
      <c r="C20" s="50" t="str">
        <f>+LISTADO!$H$7</f>
        <v>Estefanía Granda / Luis Arango</v>
      </c>
      <c r="D20" s="50" t="s">
        <v>58</v>
      </c>
      <c r="E20" s="50" t="s">
        <v>67</v>
      </c>
    </row>
    <row r="21" spans="1:5" ht="45" x14ac:dyDescent="0.25">
      <c r="A21" s="50" t="s">
        <v>57</v>
      </c>
      <c r="B21" s="50" t="s">
        <v>9</v>
      </c>
      <c r="C21" s="50" t="str">
        <f>+LISTADO!$H$7</f>
        <v>Estefanía Granda / Luis Arango</v>
      </c>
      <c r="D21" s="50" t="s">
        <v>58</v>
      </c>
      <c r="E21" s="50" t="s">
        <v>68</v>
      </c>
    </row>
    <row r="22" spans="1:5" ht="60" x14ac:dyDescent="0.25">
      <c r="A22" s="50" t="s">
        <v>69</v>
      </c>
      <c r="B22" s="50" t="s">
        <v>9</v>
      </c>
      <c r="C22" s="50" t="str">
        <f>+LISTADO!$H$7</f>
        <v>Estefanía Granda / Luis Arango</v>
      </c>
      <c r="D22" s="50" t="s">
        <v>70</v>
      </c>
      <c r="E22" s="50" t="s">
        <v>71</v>
      </c>
    </row>
    <row r="23" spans="1:5" ht="75" x14ac:dyDescent="0.25">
      <c r="A23" s="50" t="s">
        <v>69</v>
      </c>
      <c r="B23" s="50" t="s">
        <v>9</v>
      </c>
      <c r="C23" s="50" t="str">
        <f>+LISTADO!$H$7</f>
        <v>Estefanía Granda / Luis Arango</v>
      </c>
      <c r="D23" s="50" t="s">
        <v>70</v>
      </c>
      <c r="E23" s="50" t="s">
        <v>72</v>
      </c>
    </row>
    <row r="24" spans="1:5" ht="120" x14ac:dyDescent="0.25">
      <c r="A24" s="50" t="s">
        <v>69</v>
      </c>
      <c r="B24" s="50" t="s">
        <v>9</v>
      </c>
      <c r="C24" s="50" t="str">
        <f>+LISTADO!$H$7</f>
        <v>Estefanía Granda / Luis Arango</v>
      </c>
      <c r="D24" s="50" t="s">
        <v>70</v>
      </c>
      <c r="E24" s="50" t="s">
        <v>73</v>
      </c>
    </row>
    <row r="25" spans="1:5" ht="90" x14ac:dyDescent="0.25">
      <c r="A25" s="50" t="s">
        <v>69</v>
      </c>
      <c r="B25" s="50" t="s">
        <v>9</v>
      </c>
      <c r="C25" s="50" t="str">
        <f>+LISTADO!$H$7</f>
        <v>Estefanía Granda / Luis Arango</v>
      </c>
      <c r="D25" s="50" t="s">
        <v>70</v>
      </c>
      <c r="E25" s="50" t="s">
        <v>74</v>
      </c>
    </row>
    <row r="26" spans="1:5" ht="45" x14ac:dyDescent="0.25">
      <c r="A26" s="50" t="s">
        <v>69</v>
      </c>
      <c r="B26" s="50" t="s">
        <v>9</v>
      </c>
      <c r="C26" s="50" t="str">
        <f>+LISTADO!$H$7</f>
        <v>Estefanía Granda / Luis Arango</v>
      </c>
      <c r="D26" s="50" t="s">
        <v>70</v>
      </c>
      <c r="E26" s="50" t="s">
        <v>75</v>
      </c>
    </row>
    <row r="27" spans="1:5" ht="45" x14ac:dyDescent="0.25">
      <c r="A27" s="50" t="s">
        <v>69</v>
      </c>
      <c r="B27" s="50" t="s">
        <v>9</v>
      </c>
      <c r="C27" s="50" t="str">
        <f>+LISTADO!$H$7</f>
        <v>Estefanía Granda / Luis Arango</v>
      </c>
      <c r="D27" s="50" t="s">
        <v>70</v>
      </c>
      <c r="E27" s="50" t="s">
        <v>76</v>
      </c>
    </row>
    <row r="28" spans="1:5" ht="45" x14ac:dyDescent="0.25">
      <c r="A28" s="50" t="s">
        <v>69</v>
      </c>
      <c r="B28" s="50" t="s">
        <v>9</v>
      </c>
      <c r="C28" s="50" t="str">
        <f>+LISTADO!$H$7</f>
        <v>Estefanía Granda / Luis Arango</v>
      </c>
      <c r="D28" s="50" t="s">
        <v>70</v>
      </c>
      <c r="E28" s="50" t="s">
        <v>77</v>
      </c>
    </row>
    <row r="29" spans="1:5" ht="75" x14ac:dyDescent="0.25">
      <c r="A29" s="50" t="s">
        <v>69</v>
      </c>
      <c r="B29" s="50" t="s">
        <v>9</v>
      </c>
      <c r="C29" s="50" t="str">
        <f>+LISTADO!$H$7</f>
        <v>Estefanía Granda / Luis Arango</v>
      </c>
      <c r="D29" s="50" t="s">
        <v>70</v>
      </c>
      <c r="E29" s="50" t="s">
        <v>78</v>
      </c>
    </row>
    <row r="30" spans="1:5" ht="45" x14ac:dyDescent="0.25">
      <c r="A30" s="50" t="s">
        <v>69</v>
      </c>
      <c r="B30" s="50" t="s">
        <v>9</v>
      </c>
      <c r="C30" s="50" t="str">
        <f>+LISTADO!$H$7</f>
        <v>Estefanía Granda / Luis Arango</v>
      </c>
      <c r="D30" s="50" t="s">
        <v>70</v>
      </c>
      <c r="E30" s="50" t="s">
        <v>79</v>
      </c>
    </row>
    <row r="31" spans="1:5" ht="45" x14ac:dyDescent="0.25">
      <c r="A31" s="50" t="s">
        <v>69</v>
      </c>
      <c r="B31" s="50" t="s">
        <v>9</v>
      </c>
      <c r="C31" s="50" t="str">
        <f>+LISTADO!$H$7</f>
        <v>Estefanía Granda / Luis Arango</v>
      </c>
      <c r="D31" s="50" t="s">
        <v>70</v>
      </c>
      <c r="E31" s="50" t="s">
        <v>80</v>
      </c>
    </row>
    <row r="32" spans="1:5" ht="105" x14ac:dyDescent="0.25">
      <c r="A32" s="50" t="s">
        <v>81</v>
      </c>
      <c r="B32" s="50" t="s">
        <v>9</v>
      </c>
      <c r="C32" s="50" t="str">
        <f>+LISTADO!$H$7</f>
        <v>Estefanía Granda / Luis Arango</v>
      </c>
      <c r="D32" s="50" t="s">
        <v>82</v>
      </c>
      <c r="E32" s="50" t="s">
        <v>83</v>
      </c>
    </row>
    <row r="33" spans="1:5" ht="90" x14ac:dyDescent="0.25">
      <c r="A33" s="50" t="s">
        <v>81</v>
      </c>
      <c r="B33" s="50" t="s">
        <v>9</v>
      </c>
      <c r="C33" s="50" t="str">
        <f>+LISTADO!$H$7</f>
        <v>Estefanía Granda / Luis Arango</v>
      </c>
      <c r="D33" s="50" t="s">
        <v>82</v>
      </c>
      <c r="E33" s="50" t="s">
        <v>84</v>
      </c>
    </row>
    <row r="34" spans="1:5" ht="60" x14ac:dyDescent="0.25">
      <c r="A34" s="50" t="s">
        <v>81</v>
      </c>
      <c r="B34" s="50" t="s">
        <v>9</v>
      </c>
      <c r="C34" s="50" t="str">
        <f>+LISTADO!$H$7</f>
        <v>Estefanía Granda / Luis Arango</v>
      </c>
      <c r="D34" s="50" t="s">
        <v>82</v>
      </c>
      <c r="E34" s="50" t="s">
        <v>85</v>
      </c>
    </row>
    <row r="35" spans="1:5" ht="60" x14ac:dyDescent="0.25">
      <c r="A35" s="50" t="s">
        <v>81</v>
      </c>
      <c r="B35" s="50" t="s">
        <v>9</v>
      </c>
      <c r="C35" s="50" t="str">
        <f>+LISTADO!$H$7</f>
        <v>Estefanía Granda / Luis Arango</v>
      </c>
      <c r="D35" s="50" t="s">
        <v>82</v>
      </c>
      <c r="E35" s="50" t="s">
        <v>86</v>
      </c>
    </row>
    <row r="36" spans="1:5" ht="60" x14ac:dyDescent="0.25">
      <c r="A36" s="50" t="s">
        <v>81</v>
      </c>
      <c r="B36" s="50" t="s">
        <v>9</v>
      </c>
      <c r="C36" s="50" t="str">
        <f>+LISTADO!$H$7</f>
        <v>Estefanía Granda / Luis Arango</v>
      </c>
      <c r="D36" s="50" t="s">
        <v>82</v>
      </c>
      <c r="E36" s="50" t="s">
        <v>87</v>
      </c>
    </row>
    <row r="37" spans="1:5" ht="75" x14ac:dyDescent="0.25">
      <c r="A37" s="50" t="s">
        <v>81</v>
      </c>
      <c r="B37" s="50" t="s">
        <v>9</v>
      </c>
      <c r="C37" s="50" t="str">
        <f>+LISTADO!$H$7</f>
        <v>Estefanía Granda / Luis Arango</v>
      </c>
      <c r="D37" s="50" t="s">
        <v>82</v>
      </c>
      <c r="E37" s="50" t="s">
        <v>88</v>
      </c>
    </row>
    <row r="38" spans="1:5" ht="60" x14ac:dyDescent="0.25">
      <c r="A38" s="50" t="s">
        <v>81</v>
      </c>
      <c r="B38" s="50" t="s">
        <v>9</v>
      </c>
      <c r="C38" s="50" t="str">
        <f>+LISTADO!$H$7</f>
        <v>Estefanía Granda / Luis Arango</v>
      </c>
      <c r="D38" s="50" t="s">
        <v>82</v>
      </c>
      <c r="E38" s="50" t="s">
        <v>89</v>
      </c>
    </row>
    <row r="39" spans="1:5" ht="60" x14ac:dyDescent="0.25">
      <c r="A39" s="50" t="s">
        <v>81</v>
      </c>
      <c r="B39" s="50" t="s">
        <v>9</v>
      </c>
      <c r="C39" s="50" t="str">
        <f>+LISTADO!$H$7</f>
        <v>Estefanía Granda / Luis Arango</v>
      </c>
      <c r="D39" s="50" t="s">
        <v>82</v>
      </c>
      <c r="E39" s="50" t="s">
        <v>90</v>
      </c>
    </row>
    <row r="40" spans="1:5" ht="60" x14ac:dyDescent="0.25">
      <c r="A40" s="50" t="s">
        <v>81</v>
      </c>
      <c r="B40" s="50" t="s">
        <v>9</v>
      </c>
      <c r="C40" s="50" t="str">
        <f>+LISTADO!$H$7</f>
        <v>Estefanía Granda / Luis Arango</v>
      </c>
      <c r="D40" s="50" t="s">
        <v>82</v>
      </c>
      <c r="E40" s="50" t="s">
        <v>91</v>
      </c>
    </row>
    <row r="41" spans="1:5" ht="60" x14ac:dyDescent="0.25">
      <c r="A41" s="50" t="s">
        <v>81</v>
      </c>
      <c r="B41" s="50" t="s">
        <v>9</v>
      </c>
      <c r="C41" s="50" t="str">
        <f>+LISTADO!$H$7</f>
        <v>Estefanía Granda / Luis Arango</v>
      </c>
      <c r="D41" s="50" t="s">
        <v>82</v>
      </c>
      <c r="E41" s="50" t="s">
        <v>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LISTADO</vt:lpstr>
      <vt:lpstr>Banco Preguntas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yesidrf@gmail.com</dc:creator>
  <cp:lastModifiedBy>Luis Octavio Arango Colorado</cp:lastModifiedBy>
  <dcterms:created xsi:type="dcterms:W3CDTF">2014-06-17T13:38:35Z</dcterms:created>
  <dcterms:modified xsi:type="dcterms:W3CDTF">2026-06-30T11:55:27Z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0x0101005529915A2A907943A8652EDE50EB40DA</vt:lpwstr>
  </property>
  <property fmtid="{D5CDD505-2E9C-101B-9397-08002B2CF9AE}" pid="3" name="Order">
    <vt:r8>3300</vt:r8>
  </property>
  <property fmtid="{D5CDD505-2E9C-101B-9397-08002B2CF9AE}" pid="4" name="MediaServiceImageTags">
    <vt:lpwstr/>
  </property>
</Properties>
</file>
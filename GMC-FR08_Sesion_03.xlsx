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https://d.docs.live.net/6b20ea477b36462f/Cursor/Auditorias/Interna OEA/app/listados/"/>
    </mc:Choice>
  </mc:AlternateContent>
  <xr:revisionPtr revIDLastSave="13" documentId="11_8E3A9A52BDBD4E2929AF7B3079881600CCE4753E" xr6:coauthVersionLast="47" xr6:coauthVersionMax="47" xr10:uidLastSave="{29F563EF-9EF3-4691-A441-EFFFC4FE28A2}"/>
  <bookViews>
    <workbookView xWindow="28680" yWindow="2610" windowWidth="24240" windowHeight="13020" activeTab="1" xr2:uid="{00000000-000D-0000-FFFF-FFFF00000000}"/>
  </bookViews>
  <sheets>
    <sheet name="LISTADO" sheetId="1" r:id="rId1"/>
    <sheet name="Banco Pregunta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 i="2" l="1"/>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2" i="2"/>
  <c r="G48" i="1"/>
  <c r="D48" i="1"/>
  <c r="B4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yesidrf@gmail.com</author>
  </authors>
  <commentList>
    <comment ref="H48" authorId="0" shapeId="0" xr:uid="{00000000-0006-0000-0000-000001000000}">
      <text>
        <r>
          <rPr>
            <sz val="11"/>
            <color theme="1"/>
            <rFont val="Calibri"/>
            <family val="2"/>
            <scheme val="minor"/>
          </rPr>
          <t xml:space="preserve">Nivel de implementación
1. No se ha Implementado
2. Su implementación es deficiente
3. Está en proceso de implementación
4. Se ha implementado completamente
5. Modelo en resultado trabaja con mejoramiento continuo
</t>
        </r>
      </text>
    </comment>
    <comment ref="J48" authorId="0" shapeId="0" xr:uid="{00000000-0006-0000-0000-000002000000}">
      <text>
        <r>
          <rPr>
            <sz val="11"/>
            <color theme="1"/>
            <rFont val="Calibri"/>
            <family val="2"/>
            <scheme val="minor"/>
          </rPr>
          <t xml:space="preserve">Nivel de Eficacia
1. No cumple con el objetivo, ni los indicadores y no tiene plan de acción
2. No cumple el objetivo, no los indicadores y tiene plan de acción
3. Cumple los indicadores algunas veces y genera plan de acción
4. Cumple con los indicadores y alcanza objetivos
5. Sobrepasa los indicadores se puede proyectar mas
</t>
        </r>
      </text>
    </comment>
  </commentList>
</comments>
</file>

<file path=xl/sharedStrings.xml><?xml version="1.0" encoding="utf-8"?>
<sst xmlns="http://schemas.openxmlformats.org/spreadsheetml/2006/main" count="245" uniqueCount="105">
  <si>
    <t xml:space="preserve">CI COLOMBIAN MINT </t>
  </si>
  <si>
    <t>Codigo: GMC-FR08</t>
  </si>
  <si>
    <t xml:space="preserve">   LISTADO DE VERIFICACION </t>
  </si>
  <si>
    <t>Versión:1</t>
  </si>
  <si>
    <t>Fecha de aprobación: 
01/07/2021</t>
  </si>
  <si>
    <t>1. PLANIFICACIÓN DE LA AUDITORIA</t>
  </si>
  <si>
    <t xml:space="preserve">FECHA </t>
  </si>
  <si>
    <t>2026-07-06</t>
  </si>
  <si>
    <t>PROCESO</t>
  </si>
  <si>
    <t>SRF SEGURIDAD</t>
  </si>
  <si>
    <t xml:space="preserve">AUDITOR </t>
  </si>
  <si>
    <t>Estefanía Granda</t>
  </si>
  <si>
    <t>AUDITADO</t>
  </si>
  <si>
    <t>Juan Carlos Ramírez / Diego Mesa</t>
  </si>
  <si>
    <t>DOCUMENTOS RELACIONADOS</t>
  </si>
  <si>
    <t>GMC-FR07 Plan Auditorías 2026 · Res. 015/2016 Art. 4º · GMC-FR08</t>
  </si>
  <si>
    <t>REQUISITOS</t>
  </si>
  <si>
    <t>OEA 6.1, OEA 6.4, OEA 6.6, OEA 6.12, OEA 6.13</t>
  </si>
  <si>
    <t>OBJETIVO</t>
  </si>
  <si>
    <t>Validar el cumplimiento de los requisitos de la resolución 015 de 2016 para el OEA Exportador</t>
  </si>
  <si>
    <t>ALCANCE</t>
  </si>
  <si>
    <t>Todos los requisitos OEA de la resolución 015 de 2016 para operador económico autorizado tipo Exportador.</t>
  </si>
  <si>
    <t>2. ENTREVISTA</t>
  </si>
  <si>
    <t>PREGUNTAS</t>
  </si>
  <si>
    <t>COMENTARIOS</t>
  </si>
  <si>
    <t>CUMPLE</t>
  </si>
  <si>
    <t>SI</t>
  </si>
  <si>
    <t>NO</t>
  </si>
  <si>
    <t>3. HALLAZGOS INDIVIDUALES</t>
  </si>
  <si>
    <t>4. ASPECTOS POR RESALTAR (AR)</t>
  </si>
  <si>
    <t>5. ASPECTOS POR MEJORAR (AM)</t>
  </si>
  <si>
    <t>REQUISITO</t>
  </si>
  <si>
    <t>NO CONFORMIDAD (NC)</t>
  </si>
  <si>
    <t>RIESGO</t>
  </si>
  <si>
    <t>Nº AC</t>
  </si>
  <si>
    <t>TOTAL AR</t>
  </si>
  <si>
    <t>TOTAL AM</t>
  </si>
  <si>
    <t>TOTAL NC</t>
  </si>
  <si>
    <t>NIVEL IMPLEMENTACIÓN</t>
  </si>
  <si>
    <t>NIVEL EFICACIA</t>
  </si>
  <si>
    <t>Requisito</t>
  </si>
  <si>
    <t>Proceso</t>
  </si>
  <si>
    <t>Responsable</t>
  </si>
  <si>
    <t>Descripción del requisito</t>
  </si>
  <si>
    <t>Preguntas Sugeridas Auditoría Interna</t>
  </si>
  <si>
    <t>OEA 6.1</t>
  </si>
  <si>
    <t>Debe tener implementadas medidas de seguridad para identificar plenamente a los conductores, sus acompañantes y los vehículos antes de que reciban o entreguen la carga.</t>
  </si>
  <si>
    <t>¿Cuáles son las medidas para identificar plenamente a los conductores (nombre y número de identificación), acompañantes (si aplica) y los vehículos (cabezote y trailer). ¿Qué registros o documentos (SRF-GU01 (Guía de ingreso de vehículos al parqueadero), SRF-FR07 (Formato de inspección unidad de carga)) demuestran el cumplimiento de lo solicitado?</t>
  </si>
  <si>
    <t>¿Cuáles son los formatos, registros, sistemas informáticos y/o mecanismos implementados, para identificar plenamente a los conductores, acompañantes (si aplica), vehículos (cabezote y tráiler)? Indique versión, fecha e identificación en el SGD. Para sustentar, presente evidencia documental vigente de Colombian Mint, tales como: SRF-GU01 (Guía de ingreso de vehículos al parqueadero), SRF-IN02 (Instructivo del Software de control de ingreso versión 568)?</t>
  </si>
  <si>
    <t>¿las medidas de seguridad de los numérales 1 y 2 para la identificación y los registros, se encuentran descritos en documento(s), procedimiento(s), instructivo(s), manual(es). Indique la ubicación en el documento (numeral, ítem, párrafos, página, etc.) Indique versión, fecha e identificación en el SGD. Para sustentar, presente evidencia documental vigente de Colombian Mint, tales como: SRF-IN02 (Instructivo del Software de control de ingreso versión 568), SRF-GU02 (Guía de protocolos de seguridad de ingreso externo)?</t>
  </si>
  <si>
    <t>¿si tiene tercerizado este proceso ¿Cuáles son las medidas de control que su asociado de negocio implementa para el cumplimiento de la identificación de conductores, acompañantes y vehículos? Indique en el documento de su asociado de negocio, la ubicación del documento (numeral, ítem, párrafos, página, etc.). Para sustentar, presente evidencia documental vigente de Colombian Mint, tales como: SRF-GU01 (Guía de ingreso de vehículos al parqueadero), SRF-IN02 (Instructivo del Software de control de ingreso versión 568)?</t>
  </si>
  <si>
    <t>¿Cargue las evidencias de implementación (Ej. Procedimiento(s), instructivo(s), manual(es), registros control de ingreso y salida de conductores, acompañantes, y vehículos con carga de importación, captura de pantalla plataforma, correo electrónico, estudios de seguridad, registros fotográficos, cláusulas de seguridad, acuerdos, SOP, etc.). Para sustentar, presente evidencia documental vigente de Colombian Mint, tales como: SRF-GU02 (Guía de protocolos de seguridad de ingreso externo), SRF-IN02 (Instructivo del Software de control de ingreso versión 568)?</t>
  </si>
  <si>
    <t>¿según criterios de auditoría OEA (ISO 19011) para el requisito OEA 6.1: Procedimiento de control de acceso vehicular. ¿Qué evidencia objetiva presenta el auditado? Documentos de referencia: SRF-IN02 (Instructivo del Software de control de ingreso versión 568), SRF-FR07 (Formato de inspección unidad de carga)?</t>
  </si>
  <si>
    <t>¿según criterios de auditoría OEA (ISO 19011) para el requisito OEA 6.1: Registro fotográfico de vehículos y conductores. ¿Qué evidencia objetiva presenta el auditado? Documentos de referencia: SRF-GU01 (Guía de ingreso de vehículos al parqueadero), SRF-FR07 (Formato de inspección unidad de carga)?</t>
  </si>
  <si>
    <t>¿según criterios de auditoría OEA (ISO 19011) para el requisito OEA 6.1: Formatos de ingreso/egreso. ¿Qué evidencia objetiva presenta el auditado? Documentos de referencia: SRF-GU01 (Guía de ingreso de vehículos al parqueadero), SRF-GU02 (Guía de protocolos de seguridad de ingreso externo)?</t>
  </si>
  <si>
    <t>¿Verifique el documento SRF-GU08 (Guía de ingreso y salida de transportadoras de valores). ¿Está vigente, identificado en el SGD, aprobado por la autoridad competente y en aplicación para el requisito OEA 6.1?</t>
  </si>
  <si>
    <t>¿Verifique el documento SRF-GU17 (Consignas Particulares Para Los Puestos De Recepción Y Parqueadero Externo). ¿Está vigente, identificado en el SGD, aprobado por la autoridad competente y en aplicación para el requisito OEA 6.1?</t>
  </si>
  <si>
    <t>OEA 6.4</t>
  </si>
  <si>
    <t>Debe tener un protocolo para resolver eventos inesperados en el transporte de su carga entre el punto de llenado y el puerto de embarque al exterior que contemple: detención inesperada, hurto o saqueo del vehículo, desvío de la ruta, bloqueo de la vía, accidente de tránsito, falla mecánica y violación de sellos de seguridad.</t>
  </si>
  <si>
    <t>¿Mencione el protocolo dispuesto para actuar ante cada uno de los eventos inesperados mencionados en el requisito. Indique versión, fecha e identificación en el SGD. Para sustentar, presente evidencia documental vigente de Colombian Mint, tales como: SRF-GU05 (Protocolo de eventos inesperados), SRF-FR12 (Control y Registro de Sellos y Precintos)?</t>
  </si>
  <si>
    <t>¿si tiene tercerizado el transporte terrestre, ¿dispone de un contrato, cláusulas, acuerdos o procedimientos operativos estándar (SOP) que garanticen la implementación de las medidas adoptadas o la aplicación de los protocolos del transportista. Para sustentar, presente evidencia documental vigente de Colombian Mint, tales como: SRF-FR12 (Control y Registro de Sellos y Precintos), SRF-FR07 (Formato de inspección unidad de carga)?</t>
  </si>
  <si>
    <t>¿conoce o cuenta con el documento(s), procedimiento(s), instructivo(s), manual(es), que contempla las acciones para la atención de los eventos inesperados en el transporte que implementa su transportista. Para sustentar, presente evidencia documental vigente de Colombian Mint, tales como: SRF-GU05 (Protocolo de eventos inesperados), GPC-PR03 (Procedimiento para la Gestión de Servicios con la Transportadora de Va)?</t>
  </si>
  <si>
    <t>¿si cuenta con nuevos asociados de negocio transportista, con posterioridad a la autorización o a la última revalidación, relacione los protocolos. ¿Qué registros o documentos (SRF-FR12 (Control y Registro de Sellos y Precintos), SRF-FR07 (Formato de inspección unidad de carga)) demuestran el cumplimiento de lo solicitado?</t>
  </si>
  <si>
    <t>¿Relacione las evidencias de implementación (Ej. registros de eventos inesperados, documento(s), protocolo(s), instructivo(s), manual(es), propio alineado con los protocolos de sus asociados de negocios, cláusulas de seguridad, acuerdos, SOP, protocolos de terceros, reporte situación en la vía, captura de pantalla, correos, capacitaciones, socialización de sus protocolos con sus asociados de negocio transportistas, etc.). Para sustentar, presente evidencia documental vigente de Colombian Mint, tales como: SRF-GU05 (Protocolo de eventos inesperados), SRF-FR12 (Control y Registro de Sellos y Precintos)?</t>
  </si>
  <si>
    <t>¿según criterios de auditoría OEA (ISO 19011) para el requisito OEA 6.4: Software de GPS y monitoreo. ¿Qué evidencia objetiva presenta el auditado? Documentos de referencia: SRF-FR12 (Control y Registro de Sellos y Precintos), SRF-FR07 (Formato de inspección unidad de carga)?</t>
  </si>
  <si>
    <t>¿según criterios de auditoría OEA (ISO 19011) para el requisito OEA 6.4: Protocolo documentado para la gestión de novedades y contingencias en ruta. ¿Qué evidencia objetiva presenta el auditado? Documentos de referencia: SRF-GU05 (Protocolo de eventos inesperados), GPC-PR03 (Procedimiento para la Gestión de Servicios con la Transportadora de Va)?</t>
  </si>
  <si>
    <t>¿Verifique el documento SRF-GU13 (Guía estudio ruta Cartagena). ¿Está vigente, identificado en el SGD, aprobado por la autoridad competente y en aplicación para el requisito OEA 6.4?</t>
  </si>
  <si>
    <t>¿El requisito OEA 6.4 exige: "Debe tener un protocolo para resolver eventos inesperados en el transporte de su carga entre el punto de llenado y el puerto de embarque al exterior que contemple: detención inespe." ¿Qué controles operativos y registros demuestran su cumplimiento sostenido en Colombian Mint?</t>
  </si>
  <si>
    <t>¿Presente el SRF-FR23 y sus registros asociados. ¿Con qué periodicidad se actualiza, quién es el responsable y cómo se evidencia su aplicación al requisito OEA 6.4?</t>
  </si>
  <si>
    <t>OEA 6.6</t>
  </si>
  <si>
    <t>Tener procedimientos documentados para garantizar la integridad y la seguridad de la carga en los procesos relativos al manejo, almacenamiento y transporte.</t>
  </si>
  <si>
    <t>¿Mencione el documento(s), procedimiento(s), instructivo(s), manual(es) con los que se garantiza la integridad y seguridad de la carga en los procesos mencionados por el requisito. Indique la ubicación en el documento (numeral, ítem, párrafos, página, etc.) Indique versión, fecha e identificación en el SGD. Para sustentar, presente evidencia documental vigente de Colombian Mint, tales como: SRF-FR07 (Formato de inspección unidad de carga), GEX-PR01 (Procedimiento Gestión de exportación doré)?</t>
  </si>
  <si>
    <t>¿Mencione el formato, registros, sistemas informáticos y/o mecanismos implementados, utilizado para documentar el cumplimiento de las medidas adoptadas. Indique versión, fecha e identificación en el SGD. Para sustentar, presente evidencia documental vigente de Colombian Mint, tales como: SRF-FR07 (Formato de inspección unidad de carga), SRF-FR12 (Control y Registro de Sellos y Precintos)?</t>
  </si>
  <si>
    <t>¿En caso de tener tercerizado estos procesos para las mercancías objeto de exportación, ¿Cuenta o conocer cuáles son las medidas adoptadas para garantizar la seguridad e integridad de la carga? indique en el documento de su asociado de negocio, la ubicación del documento (numeral, ítem, párrafos, página, etc.). Para sustentar, presente evidencia documental vigente de Colombian Mint, tales como: SRF-FR07 (Formato de inspección unidad de carga), GEX-PR01 (Procedimiento Gestión de exportación doré)?</t>
  </si>
  <si>
    <t>¿Cargue las evidencias de implementación (Ej. Procedimiento(s), instructivo(s), manual(es), registro ingreso a zona de almacenamiento, planilla de traslado, cláusulas de seguridad, acuerdos, SOP, reporte acompañamiento de escoltas, captura de pantalla de inventarios, correos, capacitaciones, registros fotográficos, capturas de pantalla de sistemas utilizados, pantallazos CCTV áreas de almacenamiento, de despacho y/o recepción de mercancías de importación, etc.). Para sustentar, presente evidencia documental vigente de Colombian Mint, tales como: SRF-FR12 (Control y Registro de Sellos y Precintos), GEX-PR01 (Procedimiento Gestión de exportación doré)?</t>
  </si>
  <si>
    <t>¿según criterios de auditoría OEA (ISO 19011) para el requisito OEA 6.6: Plan de continuidad del negocio (BCP). ¿Qué evidencia objetiva presenta el auditado? Documentos de referencia: SRF-FR07 (Formato de inspección unidad de carga), SRF-FR12 (Control y Registro de Sellos y Precintos)?</t>
  </si>
  <si>
    <t>¿según criterios de auditoría OEA (ISO 19011) para el requisito OEA 6.6: Procedimiento ante desastres o ataques informáticos. ¿Qué evidencia objetiva presenta el auditado? Documentos de referencia: GEX-PR01 (Procedimiento Gestión de exportación doré), GEX-PR02 (Procedimiento Gestión de exportación concentrados)?</t>
  </si>
  <si>
    <t>¿según criterios de auditoría OEA (ISO 19011) para el requisito OEA 6.6: 2. Protocolos de Empaque y Embalaje: Procedimiento documentado y registros fotográficos que evidencien el uso de las tulas de seguridad, cartón corrugado y precintos. ¿Qué evidencia objetiva presenta el auditado? Documentos de referencia: SRF-FR12 (Control y Registro de Sellos y Precintos), GEX-PR01 (Procedimiento Gestión de exportación doré)?</t>
  </si>
  <si>
    <t>¿según criterios de auditoría OEA (ISO 19011) para el requisito OEA 6.6: 2. Procedimiento de Inspección Antinarcóticos (con caninos): Documento y registros de las inspecciones realizadas en Quintana antes del despacho. ¿Qué evidencia objetiva presenta el auditado? Documentos de referencia: SRF-FR07 (Formato de inspección unidad de carga), SRF-FR18 (Inspección de contenedores marítimos)?</t>
  </si>
  <si>
    <t>¿Verifique el documento GPC-GU01 (Guía de control y distribución de material de empaque y embalaje). ¿Está vigente, identificado en el SGD, aprobado por la autoridad competente y en aplicación para el requisito OEA 6.6?</t>
  </si>
  <si>
    <t>¿Verifique el documento SRF-GU10 (Guía seguridad y protección para manejo y control de CCTV). ¿Está vigente, identificado en el SGD, aprobado por la autoridad competente y en aplicación para el requisito OEA 6.6?</t>
  </si>
  <si>
    <t>OEA 6.12</t>
  </si>
  <si>
    <t>Tener procedimientos documentados para almacenar, custodiar, controlar y revisar antes de su uso, el material de empaque de exportación.</t>
  </si>
  <si>
    <t>¿Mencione el documento(s), procedimiento(s), instructivo(s), manual(es), con o las disposiciones para almacenar, custodiar, controlar y revisar el material de empaque. Indique la ubicación en el documento (numeral, ítem, párrafos, página, etc.) Indique versión, fecha e identificación en el SGD. Para sustentar, presente evidencia documental vigente de Colombian Mint, tales como: GPC-FR06 (Control y registro material de empaque y embalaje), SRF-IN01 (Instructivo inspección material de embalaje)?</t>
  </si>
  <si>
    <t>¿Mencione el formato(s), registro(s) y/o sistemas informáticos, utilizado para documentar el control y la revisión del material de empaque. Indique versión, fecha e identificación en el SGD. Para sustentar, presente evidencia documental vigente de Colombian Mint, tales como: GPC-FR06 (Control y registro material de empaque y embalaje), GPC-GU01 (Guía de control y distribución de material de empaque y embalaje)?</t>
  </si>
  <si>
    <t>¿Se ha presentado incidentes de seguridad en el material de empaque con posterioridad a la autorización o a la última revalidación? En caso de que su respuesta sea afirmativa, indique cuales fueron las acciones de mejora implementadas. Para sustentar, presente evidencia documental vigente de Colombian Mint, tales como: GPC-FR06 (Control y registro material de empaque y embalaje), GPC-GU01 (Guía de control y distribución de material de empaque y embalaje)?</t>
  </si>
  <si>
    <t>¿Cargue las evidencia de implementación (Ej. Procedimiento(s), instructivo(s), manual(es), reporte de inspección, registro de incidente, captura de pantalla de inventario de material de empaque, evidencia del CCTV, registro fotográfico de cámaras de vigilancia en zona de almacenamiento y control de acceso de ingreso y salida al área de custodia del material de empaque, correos, capacitaciones, etc.). Para sustentar, presente evidencia documental vigente de Colombian Mint, tales como: GPC-FR06 (Control y registro material de empaque y embalaje), GPC-GU01 (Guía de control y distribución de material de empaque y embalaje)?</t>
  </si>
  <si>
    <t>¿según criterios de auditoría OEA (ISO 19011) para el requisito OEA 6.12: Procedimiento de reporte a autoridades. ¿Qué evidencia objetiva presenta el auditado? Documentos de referencia: SRF-FR07 (Formato de inspección unidad de carga), SRF-FR20 (Lista de chequeo inspección material de embalaje)?</t>
  </si>
  <si>
    <t>¿según criterios de auditoría OEA (ISO 19011) para el requisito OEA 6.12: Registro de alertas internas. ¿Qué evidencia objetiva presenta el auditado? Documentos de referencia: GPC-FR06 (Control y registro material de empaque y embalaje), SRF-FR07 (Formato de inspección unidad de carga)?</t>
  </si>
  <si>
    <t>¿Verifique el documento SRF-GU11 (Guía para el control de material de embalaje). ¿Está vigente, identificado en el SGD, aprobado por la autoridad competente y en aplicación para el requisito OEA 6.12?</t>
  </si>
  <si>
    <t>¿en la auditoría ARCA (marzo 2025) se registró respecto a OEA 6.12: "Se debe actualizar el procedimiento GPC-GU01 guía de control y distribución de material de empaque, ya que establece la responsabilidad del diligenciamiento al proceso de producción, pero en la realidad es de seguridad". ¿Cuál es el estado actual de las acciones correctivas y su verificación efectiva? Evidencia de cierre sugerida: GPC-GU01 (Guía de control y distribución de material de empaque y embalaje)?</t>
  </si>
  <si>
    <t>¿El requisito OEA 6.12 exige: "Tener procedimientos documentados para almacenar, custodiar, controlar y revisar antes de su uso, el material de empaque de exportación." ¿Qué controles operativos y registros demuestran su cumplimiento sostenido en Colombian Mint?</t>
  </si>
  <si>
    <t>¿El personal entrevistado conoce los requisitos de OEA 6.12 y su responsabilidad en el cumplimiento? Solicite evidencia de socialización, inducción o capacitación?</t>
  </si>
  <si>
    <t>OEA 6.13</t>
  </si>
  <si>
    <t>Tener procedimientos documentados para que permitan supervisar la operación de los transportadores terrestres en las operaciones de su cadena de suministro internacional.</t>
  </si>
  <si>
    <t>¿Mencione el documento(s), procedimiento(s), instructivo(s), manual(es), que describe las disposiciones para supervisar las operaciones de transporte terrestre, que le permiten controlar la trazabilidad de la carga, la ubicación física y la trayectoria de las mercancías. Indique la ubicación en el texto (numeral, ítem, párrafos etc.) y la identificación con la que se caracteriza en el SGD. Para sustentar, presente evidencia documental vigente de Colombian Mint, tales como: GPC-PR03 (Procedimiento para la Gestión de Servicios con la Transportadora de Va), SRF-GU15 (Actividades de veeduría y supervisión de operaciones en Cartagena)?</t>
  </si>
  <si>
    <t>¿Mencione el formato(s), registro(s), sistemas informáticos y/o mecanismos implementados, utilizado para gestionar la supervisión y control que realiza la empresa OEA a las operaciones que realizan los transportadores terrestres para garantizar la trazabilidad de la carga en tiempo real. Indique versión, fecha e identificación en el SGD. Para sustentar, presente evidencia documental vigente de Colombian Mint, tales como: SRF-GU15 (Actividades de veeduría y supervisión de operaciones en Cartagena), GPC-PR03 (Procedimiento para la Gestión de Servicios con la Transportadora de Va)?</t>
  </si>
  <si>
    <t>¿Cargue las evidencias de implementación (Ej. Procedimiento(s), instructivo(s), manual(es), registro de supervisión, asignación del área o persona responsable, registros de rutas monitoreadas, evidencia del acceso al sistema del transportista, captura de pantalla sistema, correos de supervisión, cláusula, acuerdos de servicio, etc.). Para sustentar, presente evidencia documental vigente de Colombian Mint, tales como: GPC-PR03 (Procedimiento para la Gestión de Servicios con la Transportadora de Va), SRF-GU15 (Actividades de veeduría y supervisión de operaciones en Cartagena)?</t>
  </si>
  <si>
    <t>¿según criterios de auditoría OEA (ISO 19011) para el requisito OEA 6.13: Política de archivo documental. ¿Qué evidencia objetiva presenta el auditado? Documentos de referencia: GPC-PR03 (Procedimiento para la Gestión de Servicios con la Transportadora de Va), SRF-GU08 (Guía de ingreso y salida de transportadoras de valores)?</t>
  </si>
  <si>
    <t>¿Verifique el documento SRF-GU05 (Protocolo de eventos inesperados). ¿Está vigente, identificado en el SGD, aprobado por la autoridad competente y en aplicación para el requisito OEA 6.13?</t>
  </si>
  <si>
    <t>¿Verifique el documento SRF-GU16 (Diligenciamiento del aplicativo formularios Elea Global 3 en Cartagena). ¿Está vigente, identificado en el SGD, aprobado por la autoridad competente y en aplicación para el requisito OEA 6.13?</t>
  </si>
  <si>
    <t>¿Verifique el documento GEX-PR03 (Cadena de Suministro Internacional Exportaciones e Importaciones). ¿Está vigente, identificado en el SGD, aprobado por la autoridad competente y en aplicación para el requisito OEA 6.13?</t>
  </si>
  <si>
    <t>¿El requisito OEA 6.13 exige: "Tener procedimientos documentados para que permitan supervisar la operación de los transportadores terrestres en las operaciones de su cadena de suministro internacional." ¿Qué controles operativos y registros demuestran su cumplimiento sostenido en Colombian Mint?</t>
  </si>
  <si>
    <t>¿Presente el SRF-GU13 y sus registros asociados. ¿Con qué periodicidad se actualiza, quién es el responsable y cómo se evidencia su aplicación al requisito OEA 6.13?</t>
  </si>
  <si>
    <t>¿El personal entrevistado conoce los requisitos de OEA 6.13 y su responsabilidad en el cumplimiento? Solicite evidencia de socialización, inducción o capacitación?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</si>
</sst>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4" x14ac:knownFonts="1">
    <font>
      <sz val="11"/>
      <color theme="1"/>
      <name val="Calibri"/>
      <family val="2"/>
      <scheme val="minor"/>
    </font>
    <font>
      <sz val="11"/>
      <color theme="1"/>
      <name val="Arial"/>
      <family val="2"/>
    </font>
    <font>
      <b/>
      <sz val="11"/>
      <color theme="1"/>
      <name val="Arial"/>
      <family val="2"/>
    </font>
    <font>
      <sz val="10"/>
      <color theme="1"/>
      <name val="Arial"/>
      <family val="2"/>
    </font>
    <font>
      <b/>
      <sz val="10"/>
      <color theme="1"/>
      <name val="Arial"/>
      <family val="2"/>
    </font>
    <font>
      <sz val="11"/>
      <name val="Arial"/>
      <family val="2"/>
    </font>
    <font>
      <b/>
      <sz val="11"/>
      <name val="Arial"/>
      <family val="2"/>
    </font>
    <font>
      <b/>
      <sz val="12"/>
      <color theme="1"/>
      <name val="Arial"/>
      <family val="2"/>
    </font>
    <font>
      <b/>
      <sz val="14"/>
      <color theme="1"/>
      <name val="Arial"/>
      <family val="2"/>
    </font>
    <font>
      <sz val="10"/>
      <color rgb="FF000000"/>
      <name val="Arial"/>
      <family val="2"/>
    </font>
    <font>
      <sz val="10"/>
      <name val="Arial"/>
      <family val="2"/>
    </font>
    <font>
      <b/>
      <sz val="10"/>
      <color rgb="FF000000"/>
      <name val="Arial"/>
    </font>
    <font>
      <sz val="10"/>
      <color rgb="FF000000"/>
      <name val="Arial"/>
    </font>
    <font>
      <b/>
      <sz val="9"/>
      <color rgb="FF000000"/>
      <name val="Arial"/>
    </font>
  </fonts>
  <fills count="7">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rgb="FFFFC000"/>
        <bgColor rgb="FF000000"/>
      </patternFill>
    </fill>
    <fill>
      <patternFill patternType="solid">
        <fgColor rgb="FF9BBB59"/>
        <bgColor rgb="FF000000"/>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s>
  <cellStyleXfs count="1">
    <xf numFmtId="0" fontId="0" fillId="0" borderId="0"/>
  </cellStyleXfs>
  <cellXfs count="51">
    <xf numFmtId="0" fontId="0" fillId="0" borderId="0" xfId="0"/>
    <xf numFmtId="0" fontId="1" fillId="0" borderId="0" xfId="0" applyFont="1"/>
    <xf numFmtId="0" fontId="1" fillId="0" borderId="0" xfId="0" applyFont="1" applyAlignment="1">
      <alignment horizontal="justify" vertical="center"/>
    </xf>
    <xf numFmtId="0" fontId="3" fillId="0" borderId="1" xfId="0" applyFont="1" applyBorder="1"/>
    <xf numFmtId="0" fontId="4" fillId="0" borderId="1" xfId="0" applyFont="1" applyBorder="1" applyAlignment="1">
      <alignment horizontal="center" vertical="center"/>
    </xf>
    <xf numFmtId="0" fontId="2" fillId="0" borderId="1" xfId="0" applyFont="1" applyBorder="1" applyAlignment="1">
      <alignment horizontal="justify" vertical="center"/>
    </xf>
    <xf numFmtId="0" fontId="2" fillId="0" borderId="1" xfId="0" applyFont="1" applyBorder="1" applyAlignment="1">
      <alignment horizontal="center"/>
    </xf>
    <xf numFmtId="0" fontId="6" fillId="0" borderId="1" xfId="0" applyFont="1" applyBorder="1" applyAlignment="1">
      <alignment wrapText="1"/>
    </xf>
    <xf numFmtId="0" fontId="4" fillId="2" borderId="1" xfId="0" applyFont="1" applyFill="1" applyBorder="1" applyAlignment="1">
      <alignment horizontal="center" vertical="center"/>
    </xf>
    <xf numFmtId="0" fontId="4" fillId="2" borderId="1" xfId="0" applyFont="1" applyFill="1" applyBorder="1" applyAlignment="1">
      <alignment vertical="center" wrapText="1"/>
    </xf>
    <xf numFmtId="0" fontId="1" fillId="0" borderId="1" xfId="0" applyFont="1" applyBorder="1" applyAlignment="1">
      <alignment horizontal="center" vertical="center"/>
    </xf>
    <xf numFmtId="0" fontId="4"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4" fillId="3" borderId="1" xfId="0" applyFont="1" applyFill="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justify" vertical="center"/>
    </xf>
    <xf numFmtId="0" fontId="0" fillId="0" borderId="5" xfId="0" applyBorder="1"/>
    <xf numFmtId="0" fontId="0" fillId="0" borderId="4" xfId="0" applyBorder="1"/>
    <xf numFmtId="0" fontId="10" fillId="0" borderId="1" xfId="0" applyFont="1" applyBorder="1" applyAlignment="1">
      <alignment horizontal="left" vertical="top" wrapText="1"/>
    </xf>
    <xf numFmtId="0" fontId="10" fillId="0" borderId="1" xfId="0" applyFont="1" applyBorder="1" applyAlignment="1">
      <alignment horizontal="justify" vertical="center" wrapText="1"/>
    </xf>
    <xf numFmtId="0" fontId="2"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2" xfId="0" applyBorder="1"/>
    <xf numFmtId="0" fontId="0" fillId="0" borderId="3" xfId="0" applyBorder="1"/>
    <xf numFmtId="0" fontId="0" fillId="0" borderId="8" xfId="0" applyBorder="1"/>
    <xf numFmtId="0" fontId="0" fillId="0" borderId="9" xfId="0" applyBorder="1"/>
    <xf numFmtId="0" fontId="0" fillId="0" borderId="10" xfId="0" applyBorder="1"/>
    <xf numFmtId="0" fontId="4" fillId="3" borderId="1" xfId="0" applyFont="1" applyFill="1" applyBorder="1" applyAlignment="1">
      <alignment horizontal="left" vertical="center" wrapText="1"/>
    </xf>
    <xf numFmtId="0" fontId="2" fillId="2" borderId="1" xfId="0" applyFont="1" applyFill="1" applyBorder="1" applyAlignment="1">
      <alignment horizontal="center" vertical="center"/>
    </xf>
    <xf numFmtId="0" fontId="1" fillId="0" borderId="1" xfId="0" applyFont="1" applyBorder="1" applyAlignment="1">
      <alignment horizontal="center"/>
    </xf>
    <xf numFmtId="164"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justify" vertical="center" wrapText="1"/>
    </xf>
    <xf numFmtId="0" fontId="5" fillId="0" borderId="1" xfId="0" applyFont="1" applyBorder="1" applyAlignment="1">
      <alignment horizontal="center" vertical="top" wrapText="1"/>
    </xf>
    <xf numFmtId="0" fontId="11" fillId="0" borderId="1" xfId="0" applyFont="1" applyBorder="1" applyAlignment="1">
      <alignment horizontal="justify" vertical="center" wrapText="1"/>
    </xf>
    <xf numFmtId="0" fontId="4"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3" fillId="0" borderId="1" xfId="0" applyFont="1" applyBorder="1" applyAlignment="1">
      <alignment horizontal="left" vertical="center" wrapText="1"/>
    </xf>
    <xf numFmtId="0" fontId="7" fillId="0" borderId="1" xfId="0" applyFont="1" applyBorder="1" applyAlignment="1">
      <alignment horizontal="center" vertical="center"/>
    </xf>
    <xf numFmtId="0" fontId="0" fillId="0" borderId="6" xfId="0" applyBorder="1"/>
    <xf numFmtId="0" fontId="1" fillId="0" borderId="0" xfId="0" applyFont="1"/>
    <xf numFmtId="0" fontId="0" fillId="0" borderId="7" xfId="0" applyBorder="1"/>
    <xf numFmtId="0" fontId="12" fillId="0" borderId="1" xfId="0" applyFont="1" applyBorder="1" applyAlignment="1">
      <alignment vertical="center" wrapText="1"/>
    </xf>
    <xf numFmtId="0" fontId="3" fillId="0" borderId="1" xfId="0" applyFont="1" applyBorder="1" applyAlignment="1">
      <alignment horizontal="center"/>
    </xf>
    <xf numFmtId="0" fontId="9" fillId="0" borderId="1" xfId="0" applyFont="1" applyBorder="1" applyAlignment="1">
      <alignment horizontal="left" vertical="center" wrapText="1"/>
    </xf>
    <xf numFmtId="0" fontId="12" fillId="0" borderId="1" xfId="0" applyFont="1" applyBorder="1" applyAlignment="1">
      <alignment horizontal="justify" vertical="center" wrapText="1"/>
    </xf>
    <xf numFmtId="0" fontId="1" fillId="0" borderId="1" xfId="0" applyFont="1" applyBorder="1" applyAlignment="1">
      <alignment horizontal="center" vertical="center"/>
    </xf>
    <xf numFmtId="0" fontId="13" fillId="5" borderId="11" xfId="0" applyFont="1" applyFill="1" applyBorder="1" applyAlignment="1">
      <alignment horizontal="center" vertical="center" wrapText="1"/>
    </xf>
    <xf numFmtId="0" fontId="13" fillId="6" borderId="11" xfId="0" applyFont="1" applyFill="1" applyBorder="1" applyAlignment="1">
      <alignment horizontal="center" vertical="center" wrapText="1"/>
    </xf>
    <xf numFmtId="0" fontId="0" fillId="0" borderId="0" xfId="0" applyAlignment="1">
      <alignment wrapText="1"/>
    </xf>
  </cellXfs>
  <cellStyles count="1">
    <cellStyle name="Normal" xfId="0" builtinId="0"/>
  </cellStyles>
  <dxfs count="9">
    <dxf>
      <alignment textRotation="0" wrapText="1" indent="0" justifyLastLine="0" shrinkToFit="0" readingOrder="0"/>
    </dxf>
    <dxf>
      <font>
        <b/>
        <i val="0"/>
        <strike val="0"/>
        <condense val="0"/>
        <extend val="0"/>
        <outline val="0"/>
        <shadow val="0"/>
        <u val="none"/>
        <vertAlign val="baseline"/>
        <sz val="9"/>
        <color rgb="FF000000"/>
        <name val="Arial"/>
        <scheme val="none"/>
      </font>
      <fill>
        <patternFill patternType="solid">
          <fgColor rgb="FF000000"/>
          <bgColor rgb="FFFFC0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bottom style="thin">
          <color indexed="64"/>
        </bottom>
      </border>
    </dxf>
    <dxf>
      <border outline="0">
        <top style="thin">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345321</xdr:colOff>
      <xdr:row>0</xdr:row>
      <xdr:rowOff>34018</xdr:rowOff>
    </xdr:from>
    <xdr:to>
      <xdr:col>1</xdr:col>
      <xdr:colOff>759514</xdr:colOff>
      <xdr:row>3</xdr:row>
      <xdr:rowOff>238125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345321" y="34018"/>
          <a:ext cx="928543" cy="937532"/>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B8948F-DA2B-463D-AA56-3B014B1BC669}" name="Tabla1" displayName="Tabla1" ref="A1:E51" totalsRowShown="0" headerRowDxfId="1" dataDxfId="0" headerRowBorderDxfId="7" tableBorderDxfId="8">
  <autoFilter ref="A1:E51" xr:uid="{D9B8948F-DA2B-463D-AA56-3B014B1BC669}"/>
  <tableColumns count="5">
    <tableColumn id="1" xr3:uid="{A90B47DB-7B05-40BD-9985-75597A1ECDB4}" name="Requisito" dataDxfId="6"/>
    <tableColumn id="2" xr3:uid="{F0A9591F-E04F-4FDB-916D-5AE76C0DF8BC}" name="Proceso" dataDxfId="5"/>
    <tableColumn id="3" xr3:uid="{56450A40-80D3-4E18-A697-E23CF27D91D3}" name="Responsable" dataDxfId="4">
      <calculatedColumnFormula>+LISTADO!$H$7</calculatedColumnFormula>
    </tableColumn>
    <tableColumn id="4" xr3:uid="{FE2AB475-93BA-4C8E-B6F5-D098FA152576}" name="Descripción del requisito" dataDxfId="3"/>
    <tableColumn id="5" xr3:uid="{923659BD-7C68-45AA-96D2-518A08223E3F}" name="Preguntas Sugeridas Auditoría Interna" dataDxfId="2"/>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showGridLines="0" topLeftCell="A2" zoomScaleNormal="100" workbookViewId="0">
      <selection activeCell="A10" sqref="A10:L10"/>
    </sheetView>
  </sheetViews>
  <sheetFormatPr baseColWidth="10" defaultColWidth="11.42578125" defaultRowHeight="14.25" x14ac:dyDescent="0.2"/>
  <cols>
    <col min="1" max="1" width="7.7109375" style="1" customWidth="1"/>
    <col min="2" max="2" width="17.140625" style="1" customWidth="1"/>
    <col min="3" max="3" width="16.5703125" style="1" customWidth="1"/>
    <col min="4" max="4" width="10.5703125" style="1" customWidth="1"/>
    <col min="5" max="5" width="3.28515625" style="1" customWidth="1"/>
    <col min="6" max="6" width="11" style="1" customWidth="1"/>
    <col min="7" max="7" width="16.42578125" style="1" customWidth="1"/>
    <col min="8" max="8" width="17.7109375" style="1" customWidth="1"/>
    <col min="9" max="9" width="8.85546875" style="1" customWidth="1"/>
    <col min="10" max="10" width="13.7109375" style="1" customWidth="1"/>
    <col min="11" max="12" width="7.42578125" style="1" customWidth="1"/>
    <col min="13" max="13" width="11.42578125" style="1" customWidth="1"/>
    <col min="14" max="16384" width="11.42578125" style="1"/>
  </cols>
  <sheetData>
    <row r="1" spans="1:12" ht="29.25" customHeight="1" x14ac:dyDescent="0.25">
      <c r="A1" s="44"/>
      <c r="B1" s="23"/>
      <c r="C1" s="37" t="s">
        <v>0</v>
      </c>
      <c r="D1" s="16"/>
      <c r="E1" s="16"/>
      <c r="F1" s="16"/>
      <c r="G1" s="16"/>
      <c r="H1" s="16"/>
      <c r="I1" s="16"/>
      <c r="J1" s="17"/>
      <c r="K1" s="31" t="s">
        <v>1</v>
      </c>
      <c r="L1" s="17"/>
    </row>
    <row r="2" spans="1:12" ht="15" x14ac:dyDescent="0.25">
      <c r="A2" s="40"/>
      <c r="B2" s="42"/>
      <c r="C2" s="39" t="s">
        <v>2</v>
      </c>
      <c r="D2" s="22"/>
      <c r="E2" s="22"/>
      <c r="F2" s="22"/>
      <c r="G2" s="22"/>
      <c r="H2" s="22"/>
      <c r="I2" s="22"/>
      <c r="J2" s="23"/>
      <c r="K2" s="32" t="s">
        <v>3</v>
      </c>
      <c r="L2" s="17"/>
    </row>
    <row r="3" spans="1:12" ht="14.25" customHeight="1" x14ac:dyDescent="0.2">
      <c r="A3" s="40"/>
      <c r="B3" s="42"/>
      <c r="C3" s="40"/>
      <c r="D3" s="41"/>
      <c r="E3" s="41"/>
      <c r="F3" s="41"/>
      <c r="G3" s="41"/>
      <c r="H3" s="41"/>
      <c r="I3" s="41"/>
      <c r="J3" s="42"/>
      <c r="K3" s="31" t="s">
        <v>4</v>
      </c>
      <c r="L3" s="23"/>
    </row>
    <row r="4" spans="1:12" ht="24.75" customHeight="1" x14ac:dyDescent="0.2">
      <c r="A4" s="24"/>
      <c r="B4" s="26"/>
      <c r="C4" s="24"/>
      <c r="D4" s="25"/>
      <c r="E4" s="25"/>
      <c r="F4" s="25"/>
      <c r="G4" s="25"/>
      <c r="H4" s="25"/>
      <c r="I4" s="25"/>
      <c r="J4" s="26"/>
      <c r="K4" s="24"/>
      <c r="L4" s="26"/>
    </row>
    <row r="5" spans="1:12" ht="15" customHeight="1" x14ac:dyDescent="0.25">
      <c r="A5" s="28" t="s">
        <v>5</v>
      </c>
      <c r="B5" s="16"/>
      <c r="C5" s="16"/>
      <c r="D5" s="16"/>
      <c r="E5" s="16"/>
      <c r="F5" s="16"/>
      <c r="G5" s="16"/>
      <c r="H5" s="16"/>
      <c r="I5" s="16"/>
      <c r="J5" s="16"/>
      <c r="K5" s="16"/>
      <c r="L5" s="17"/>
    </row>
    <row r="6" spans="1:12" ht="23.25" customHeight="1" x14ac:dyDescent="0.25">
      <c r="A6" s="27" t="s">
        <v>6</v>
      </c>
      <c r="B6" s="17"/>
      <c r="C6" s="30" t="s">
        <v>7</v>
      </c>
      <c r="D6" s="16"/>
      <c r="E6" s="16"/>
      <c r="F6" s="17"/>
      <c r="G6" s="13" t="s">
        <v>8</v>
      </c>
      <c r="H6" s="38" t="s">
        <v>9</v>
      </c>
      <c r="I6" s="16"/>
      <c r="J6" s="16"/>
      <c r="K6" s="16"/>
      <c r="L6" s="17"/>
    </row>
    <row r="7" spans="1:12" ht="23.25" customHeight="1" x14ac:dyDescent="0.25">
      <c r="A7" s="27" t="s">
        <v>10</v>
      </c>
      <c r="B7" s="17"/>
      <c r="C7" s="38" t="s">
        <v>11</v>
      </c>
      <c r="D7" s="16"/>
      <c r="E7" s="16"/>
      <c r="F7" s="17"/>
      <c r="G7" s="13" t="s">
        <v>12</v>
      </c>
      <c r="H7" s="38" t="s">
        <v>13</v>
      </c>
      <c r="I7" s="16"/>
      <c r="J7" s="16"/>
      <c r="K7" s="16"/>
      <c r="L7" s="17"/>
    </row>
    <row r="8" spans="1:12" ht="23.25" customHeight="1" x14ac:dyDescent="0.25">
      <c r="A8" s="27" t="s">
        <v>14</v>
      </c>
      <c r="B8" s="17"/>
      <c r="C8" s="38" t="s">
        <v>15</v>
      </c>
      <c r="D8" s="16"/>
      <c r="E8" s="16"/>
      <c r="F8" s="17"/>
      <c r="G8" s="13" t="s">
        <v>16</v>
      </c>
      <c r="H8" s="45" t="s">
        <v>17</v>
      </c>
      <c r="I8" s="16"/>
      <c r="J8" s="16"/>
      <c r="K8" s="16"/>
      <c r="L8" s="17"/>
    </row>
    <row r="9" spans="1:12" ht="23.25" customHeight="1" x14ac:dyDescent="0.25">
      <c r="A9" s="27" t="s">
        <v>18</v>
      </c>
      <c r="B9" s="17"/>
      <c r="C9" s="38" t="s">
        <v>19</v>
      </c>
      <c r="D9" s="16"/>
      <c r="E9" s="16"/>
      <c r="F9" s="17"/>
      <c r="G9" s="13" t="s">
        <v>20</v>
      </c>
      <c r="H9" s="38" t="s">
        <v>21</v>
      </c>
      <c r="I9" s="16"/>
      <c r="J9" s="16"/>
      <c r="K9" s="16"/>
      <c r="L9" s="17"/>
    </row>
    <row r="10" spans="1:12" ht="15" customHeight="1" x14ac:dyDescent="0.25">
      <c r="A10" s="28" t="s">
        <v>22</v>
      </c>
      <c r="B10" s="16"/>
      <c r="C10" s="16"/>
      <c r="D10" s="16"/>
      <c r="E10" s="16"/>
      <c r="F10" s="16"/>
      <c r="G10" s="16"/>
      <c r="H10" s="16"/>
      <c r="I10" s="16"/>
      <c r="J10" s="16"/>
      <c r="K10" s="16"/>
      <c r="L10" s="17"/>
    </row>
    <row r="11" spans="1:12" ht="15" customHeight="1" x14ac:dyDescent="0.25">
      <c r="A11" s="21" t="s">
        <v>23</v>
      </c>
      <c r="B11" s="22"/>
      <c r="C11" s="22"/>
      <c r="D11" s="22"/>
      <c r="E11" s="22"/>
      <c r="F11" s="23"/>
      <c r="G11" s="21" t="s">
        <v>24</v>
      </c>
      <c r="H11" s="22"/>
      <c r="I11" s="22"/>
      <c r="J11" s="23"/>
      <c r="K11" s="21" t="s">
        <v>25</v>
      </c>
      <c r="L11" s="17"/>
    </row>
    <row r="12" spans="1:12" ht="15" customHeight="1" x14ac:dyDescent="0.2">
      <c r="A12" s="24"/>
      <c r="B12" s="25"/>
      <c r="C12" s="25"/>
      <c r="D12" s="25"/>
      <c r="E12" s="25"/>
      <c r="F12" s="26"/>
      <c r="G12" s="24"/>
      <c r="H12" s="25"/>
      <c r="I12" s="25"/>
      <c r="J12" s="26"/>
      <c r="K12" s="12" t="s">
        <v>26</v>
      </c>
      <c r="L12" s="12" t="s">
        <v>27</v>
      </c>
    </row>
    <row r="13" spans="1:12" s="2" customFormat="1" ht="15" customHeight="1" x14ac:dyDescent="0.25">
      <c r="A13" s="14">
        <v>1</v>
      </c>
      <c r="B13" s="43"/>
      <c r="C13" s="16"/>
      <c r="D13" s="16"/>
      <c r="E13" s="16"/>
      <c r="F13" s="17"/>
      <c r="G13" s="33"/>
      <c r="H13" s="16"/>
      <c r="I13" s="16"/>
      <c r="J13" s="17"/>
      <c r="K13" s="4"/>
      <c r="L13" s="5"/>
    </row>
    <row r="14" spans="1:12" ht="15" customHeight="1" x14ac:dyDescent="0.25">
      <c r="A14" s="14">
        <v>2</v>
      </c>
      <c r="B14" s="46"/>
      <c r="C14" s="16"/>
      <c r="D14" s="16"/>
      <c r="E14" s="16"/>
      <c r="F14" s="17"/>
      <c r="G14" s="33"/>
      <c r="H14" s="16"/>
      <c r="I14" s="16"/>
      <c r="J14" s="17"/>
      <c r="K14" s="4"/>
      <c r="L14" s="6"/>
    </row>
    <row r="15" spans="1:12" ht="15" customHeight="1" x14ac:dyDescent="0.25">
      <c r="A15" s="14">
        <v>3</v>
      </c>
      <c r="B15" s="35"/>
      <c r="C15" s="16"/>
      <c r="D15" s="16"/>
      <c r="E15" s="16"/>
      <c r="F15" s="17"/>
      <c r="G15" s="33"/>
      <c r="H15" s="16"/>
      <c r="I15" s="16"/>
      <c r="J15" s="17"/>
      <c r="K15" s="4"/>
      <c r="L15" s="6"/>
    </row>
    <row r="16" spans="1:12" ht="15" x14ac:dyDescent="0.25">
      <c r="A16" s="14">
        <v>4</v>
      </c>
      <c r="B16" s="15"/>
      <c r="C16" s="16"/>
      <c r="D16" s="16"/>
      <c r="E16" s="16"/>
      <c r="F16" s="17"/>
      <c r="G16" s="33"/>
      <c r="H16" s="16"/>
      <c r="I16" s="16"/>
      <c r="J16" s="17"/>
      <c r="K16" s="4"/>
      <c r="L16" s="3"/>
    </row>
    <row r="17" spans="1:12" ht="15" x14ac:dyDescent="0.25">
      <c r="A17" s="14">
        <v>5</v>
      </c>
      <c r="B17" s="15"/>
      <c r="C17" s="16"/>
      <c r="D17" s="16"/>
      <c r="E17" s="16"/>
      <c r="F17" s="17"/>
      <c r="G17" s="33"/>
      <c r="H17" s="16"/>
      <c r="I17" s="16"/>
      <c r="J17" s="17"/>
      <c r="K17" s="4"/>
      <c r="L17" s="3"/>
    </row>
    <row r="18" spans="1:12" ht="15" x14ac:dyDescent="0.25">
      <c r="A18" s="14">
        <v>6</v>
      </c>
      <c r="B18" s="15"/>
      <c r="C18" s="16"/>
      <c r="D18" s="16"/>
      <c r="E18" s="16"/>
      <c r="F18" s="17"/>
      <c r="G18" s="33"/>
      <c r="H18" s="16"/>
      <c r="I18" s="16"/>
      <c r="J18" s="17"/>
      <c r="K18" s="4"/>
      <c r="L18" s="3"/>
    </row>
    <row r="19" spans="1:12" ht="15" x14ac:dyDescent="0.25">
      <c r="A19" s="14">
        <v>7</v>
      </c>
      <c r="B19" s="15"/>
      <c r="C19" s="16"/>
      <c r="D19" s="16"/>
      <c r="E19" s="16"/>
      <c r="F19" s="17"/>
      <c r="G19" s="33"/>
      <c r="H19" s="16"/>
      <c r="I19" s="16"/>
      <c r="J19" s="17"/>
      <c r="K19" s="4"/>
      <c r="L19" s="3"/>
    </row>
    <row r="20" spans="1:12" ht="15" x14ac:dyDescent="0.25">
      <c r="A20" s="14">
        <v>8</v>
      </c>
      <c r="B20" s="15"/>
      <c r="C20" s="16"/>
      <c r="D20" s="16"/>
      <c r="E20" s="16"/>
      <c r="F20" s="17"/>
      <c r="G20" s="33"/>
      <c r="H20" s="16"/>
      <c r="I20" s="16"/>
      <c r="J20" s="17"/>
      <c r="K20" s="4"/>
      <c r="L20" s="3"/>
    </row>
    <row r="21" spans="1:12" ht="15" x14ac:dyDescent="0.25">
      <c r="A21" s="14">
        <v>9</v>
      </c>
      <c r="B21" s="15"/>
      <c r="C21" s="16"/>
      <c r="D21" s="16"/>
      <c r="E21" s="16"/>
      <c r="F21" s="17"/>
      <c r="G21" s="33"/>
      <c r="H21" s="16"/>
      <c r="I21" s="16"/>
      <c r="J21" s="17"/>
      <c r="K21" s="4"/>
      <c r="L21" s="3"/>
    </row>
    <row r="22" spans="1:12" ht="15" x14ac:dyDescent="0.25">
      <c r="A22" s="14">
        <v>10</v>
      </c>
      <c r="B22" s="15"/>
      <c r="C22" s="16"/>
      <c r="D22" s="16"/>
      <c r="E22" s="16"/>
      <c r="F22" s="17"/>
      <c r="G22" s="33"/>
      <c r="H22" s="16"/>
      <c r="I22" s="16"/>
      <c r="J22" s="17"/>
      <c r="K22" s="4"/>
      <c r="L22" s="3"/>
    </row>
    <row r="23" spans="1:12" ht="15" x14ac:dyDescent="0.25">
      <c r="A23" s="29"/>
      <c r="B23" s="16"/>
      <c r="C23" s="16"/>
      <c r="D23" s="16"/>
      <c r="E23" s="16"/>
      <c r="F23" s="16"/>
      <c r="G23" s="16"/>
      <c r="H23" s="16"/>
      <c r="I23" s="16"/>
      <c r="J23" s="16"/>
      <c r="K23" s="16"/>
      <c r="L23" s="17"/>
    </row>
    <row r="24" spans="1:12" ht="15" customHeight="1" x14ac:dyDescent="0.25">
      <c r="A24" s="28" t="s">
        <v>28</v>
      </c>
      <c r="B24" s="16"/>
      <c r="C24" s="16"/>
      <c r="D24" s="16"/>
      <c r="E24" s="16"/>
      <c r="F24" s="16"/>
      <c r="G24" s="16"/>
      <c r="H24" s="16"/>
      <c r="I24" s="16"/>
      <c r="J24" s="16"/>
      <c r="K24" s="16"/>
      <c r="L24" s="17"/>
    </row>
    <row r="25" spans="1:12" ht="15" customHeight="1" x14ac:dyDescent="0.25">
      <c r="A25" s="20"/>
      <c r="B25" s="16"/>
      <c r="C25" s="16"/>
      <c r="D25" s="16"/>
      <c r="E25" s="16"/>
      <c r="F25" s="16"/>
      <c r="G25" s="16"/>
      <c r="H25" s="16"/>
      <c r="I25" s="16"/>
      <c r="J25" s="16"/>
      <c r="K25" s="16"/>
      <c r="L25" s="17"/>
    </row>
    <row r="26" spans="1:12" ht="15" customHeight="1" x14ac:dyDescent="0.25">
      <c r="A26" s="20"/>
      <c r="B26" s="16"/>
      <c r="C26" s="16"/>
      <c r="D26" s="16"/>
      <c r="E26" s="16"/>
      <c r="F26" s="16"/>
      <c r="G26" s="16"/>
      <c r="H26" s="16"/>
      <c r="I26" s="16"/>
      <c r="J26" s="16"/>
      <c r="K26" s="16"/>
      <c r="L26" s="17"/>
    </row>
    <row r="27" spans="1:12" ht="15" customHeight="1" x14ac:dyDescent="0.25">
      <c r="A27" s="20"/>
      <c r="B27" s="16"/>
      <c r="C27" s="16"/>
      <c r="D27" s="16"/>
      <c r="E27" s="16"/>
      <c r="F27" s="16"/>
      <c r="G27" s="16"/>
      <c r="H27" s="16"/>
      <c r="I27" s="16"/>
      <c r="J27" s="16"/>
      <c r="K27" s="16"/>
      <c r="L27" s="17"/>
    </row>
    <row r="28" spans="1:12" ht="15" customHeight="1" x14ac:dyDescent="0.25">
      <c r="A28" s="28" t="s">
        <v>29</v>
      </c>
      <c r="B28" s="16"/>
      <c r="C28" s="16"/>
      <c r="D28" s="16"/>
      <c r="E28" s="16"/>
      <c r="F28" s="16"/>
      <c r="G28" s="16"/>
      <c r="H28" s="16"/>
      <c r="I28" s="16"/>
      <c r="J28" s="16"/>
      <c r="K28" s="16"/>
      <c r="L28" s="17"/>
    </row>
    <row r="29" spans="1:12" ht="15" x14ac:dyDescent="0.25">
      <c r="A29" s="10">
        <v>1</v>
      </c>
      <c r="B29" s="19"/>
      <c r="C29" s="16"/>
      <c r="D29" s="16"/>
      <c r="E29" s="16"/>
      <c r="F29" s="16"/>
      <c r="G29" s="16"/>
      <c r="H29" s="16"/>
      <c r="I29" s="16"/>
      <c r="J29" s="16"/>
      <c r="K29" s="16"/>
      <c r="L29" s="17"/>
    </row>
    <row r="30" spans="1:12" ht="15" x14ac:dyDescent="0.25">
      <c r="A30" s="10">
        <v>2</v>
      </c>
      <c r="B30" s="19"/>
      <c r="C30" s="16"/>
      <c r="D30" s="16"/>
      <c r="E30" s="16"/>
      <c r="F30" s="16"/>
      <c r="G30" s="16"/>
      <c r="H30" s="16"/>
      <c r="I30" s="16"/>
      <c r="J30" s="16"/>
      <c r="K30" s="16"/>
      <c r="L30" s="17"/>
    </row>
    <row r="31" spans="1:12" ht="15" x14ac:dyDescent="0.25">
      <c r="A31" s="10">
        <v>3</v>
      </c>
      <c r="B31" s="19"/>
      <c r="C31" s="16"/>
      <c r="D31" s="16"/>
      <c r="E31" s="16"/>
      <c r="F31" s="16"/>
      <c r="G31" s="16"/>
      <c r="H31" s="16"/>
      <c r="I31" s="16"/>
      <c r="J31" s="16"/>
      <c r="K31" s="16"/>
      <c r="L31" s="17"/>
    </row>
    <row r="32" spans="1:12" ht="15" x14ac:dyDescent="0.25">
      <c r="A32" s="10">
        <v>4</v>
      </c>
      <c r="B32" s="19"/>
      <c r="C32" s="16"/>
      <c r="D32" s="16"/>
      <c r="E32" s="16"/>
      <c r="F32" s="16"/>
      <c r="G32" s="16"/>
      <c r="H32" s="16"/>
      <c r="I32" s="16"/>
      <c r="J32" s="16"/>
      <c r="K32" s="16"/>
      <c r="L32" s="17"/>
    </row>
    <row r="33" spans="1:12" ht="15" x14ac:dyDescent="0.25">
      <c r="A33" s="10">
        <v>5</v>
      </c>
      <c r="B33" s="19"/>
      <c r="C33" s="16"/>
      <c r="D33" s="16"/>
      <c r="E33" s="16"/>
      <c r="F33" s="16"/>
      <c r="G33" s="16"/>
      <c r="H33" s="16"/>
      <c r="I33" s="16"/>
      <c r="J33" s="16"/>
      <c r="K33" s="16"/>
      <c r="L33" s="17"/>
    </row>
    <row r="34" spans="1:12" ht="15" customHeight="1" x14ac:dyDescent="0.25">
      <c r="A34" s="28" t="s">
        <v>30</v>
      </c>
      <c r="B34" s="16"/>
      <c r="C34" s="16"/>
      <c r="D34" s="16"/>
      <c r="E34" s="16"/>
      <c r="F34" s="16"/>
      <c r="G34" s="16"/>
      <c r="H34" s="16"/>
      <c r="I34" s="16"/>
      <c r="J34" s="16"/>
      <c r="K34" s="16"/>
      <c r="L34" s="17"/>
    </row>
    <row r="35" spans="1:12" ht="15" x14ac:dyDescent="0.25">
      <c r="A35" s="10">
        <v>1</v>
      </c>
      <c r="B35" s="19"/>
      <c r="C35" s="16"/>
      <c r="D35" s="16"/>
      <c r="E35" s="16"/>
      <c r="F35" s="16"/>
      <c r="G35" s="16"/>
      <c r="H35" s="16"/>
      <c r="I35" s="16"/>
      <c r="J35" s="16"/>
      <c r="K35" s="16"/>
      <c r="L35" s="17"/>
    </row>
    <row r="36" spans="1:12" ht="15" x14ac:dyDescent="0.25">
      <c r="A36" s="10">
        <v>2</v>
      </c>
      <c r="B36" s="19"/>
      <c r="C36" s="16"/>
      <c r="D36" s="16"/>
      <c r="E36" s="16"/>
      <c r="F36" s="16"/>
      <c r="G36" s="16"/>
      <c r="H36" s="16"/>
      <c r="I36" s="16"/>
      <c r="J36" s="16"/>
      <c r="K36" s="16"/>
      <c r="L36" s="17"/>
    </row>
    <row r="37" spans="1:12" ht="15" x14ac:dyDescent="0.25">
      <c r="A37" s="10">
        <v>3</v>
      </c>
      <c r="B37" s="19"/>
      <c r="C37" s="16"/>
      <c r="D37" s="16"/>
      <c r="E37" s="16"/>
      <c r="F37" s="16"/>
      <c r="G37" s="16"/>
      <c r="H37" s="16"/>
      <c r="I37" s="16"/>
      <c r="J37" s="16"/>
      <c r="K37" s="16"/>
      <c r="L37" s="17"/>
    </row>
    <row r="38" spans="1:12" ht="15" x14ac:dyDescent="0.25">
      <c r="A38" s="10">
        <v>4</v>
      </c>
      <c r="B38" s="19"/>
      <c r="C38" s="16"/>
      <c r="D38" s="16"/>
      <c r="E38" s="16"/>
      <c r="F38" s="16"/>
      <c r="G38" s="16"/>
      <c r="H38" s="16"/>
      <c r="I38" s="16"/>
      <c r="J38" s="16"/>
      <c r="K38" s="16"/>
      <c r="L38" s="17"/>
    </row>
    <row r="39" spans="1:12" ht="15" x14ac:dyDescent="0.25">
      <c r="A39" s="10">
        <v>5</v>
      </c>
      <c r="B39" s="19"/>
      <c r="C39" s="16"/>
      <c r="D39" s="16"/>
      <c r="E39" s="16"/>
      <c r="F39" s="16"/>
      <c r="G39" s="16"/>
      <c r="H39" s="16"/>
      <c r="I39" s="16"/>
      <c r="J39" s="16"/>
      <c r="K39" s="16"/>
      <c r="L39" s="17"/>
    </row>
    <row r="40" spans="1:12" ht="15" x14ac:dyDescent="0.25">
      <c r="A40" s="29"/>
      <c r="B40" s="16"/>
      <c r="C40" s="16"/>
      <c r="D40" s="16"/>
      <c r="E40" s="16"/>
      <c r="F40" s="16"/>
      <c r="G40" s="16"/>
      <c r="H40" s="16"/>
      <c r="I40" s="16"/>
      <c r="J40" s="16"/>
      <c r="K40" s="16"/>
      <c r="L40" s="17"/>
    </row>
    <row r="41" spans="1:12" ht="15" customHeight="1" x14ac:dyDescent="0.25">
      <c r="A41" s="28" t="s">
        <v>31</v>
      </c>
      <c r="B41" s="17"/>
      <c r="C41" s="28" t="s">
        <v>32</v>
      </c>
      <c r="D41" s="16"/>
      <c r="E41" s="16"/>
      <c r="F41" s="16"/>
      <c r="G41" s="17"/>
      <c r="H41" s="28" t="s">
        <v>33</v>
      </c>
      <c r="I41" s="16"/>
      <c r="J41" s="17"/>
      <c r="K41" s="28" t="s">
        <v>34</v>
      </c>
      <c r="L41" s="17"/>
    </row>
    <row r="42" spans="1:12" ht="15" customHeight="1" x14ac:dyDescent="0.25">
      <c r="A42" s="10">
        <v>1</v>
      </c>
      <c r="B42" s="7"/>
      <c r="C42" s="18"/>
      <c r="D42" s="16"/>
      <c r="E42" s="16"/>
      <c r="F42" s="16"/>
      <c r="G42" s="17"/>
      <c r="H42" s="34"/>
      <c r="I42" s="16"/>
      <c r="J42" s="17"/>
      <c r="K42" s="29"/>
      <c r="L42" s="17"/>
    </row>
    <row r="43" spans="1:12" ht="15" customHeight="1" x14ac:dyDescent="0.25">
      <c r="A43" s="10">
        <v>2</v>
      </c>
      <c r="B43" s="7"/>
      <c r="C43" s="18"/>
      <c r="D43" s="16"/>
      <c r="E43" s="16"/>
      <c r="F43" s="16"/>
      <c r="G43" s="17"/>
      <c r="H43" s="34"/>
      <c r="I43" s="16"/>
      <c r="J43" s="17"/>
      <c r="K43" s="29"/>
      <c r="L43" s="17"/>
    </row>
    <row r="44" spans="1:12" ht="15" customHeight="1" x14ac:dyDescent="0.25">
      <c r="A44" s="10">
        <v>3</v>
      </c>
      <c r="B44" s="7"/>
      <c r="C44" s="18"/>
      <c r="D44" s="16"/>
      <c r="E44" s="16"/>
      <c r="F44" s="16"/>
      <c r="G44" s="17"/>
      <c r="H44" s="34"/>
      <c r="I44" s="16"/>
      <c r="J44" s="17"/>
      <c r="K44" s="29"/>
      <c r="L44" s="17"/>
    </row>
    <row r="45" spans="1:12" ht="15" customHeight="1" x14ac:dyDescent="0.25">
      <c r="A45" s="10">
        <v>4</v>
      </c>
      <c r="B45" s="7"/>
      <c r="C45" s="18"/>
      <c r="D45" s="16"/>
      <c r="E45" s="16"/>
      <c r="F45" s="16"/>
      <c r="G45" s="17"/>
      <c r="H45" s="34"/>
      <c r="I45" s="16"/>
      <c r="J45" s="17"/>
      <c r="K45" s="29"/>
      <c r="L45" s="17"/>
    </row>
    <row r="46" spans="1:12" ht="15" customHeight="1" x14ac:dyDescent="0.25">
      <c r="A46" s="10">
        <v>5</v>
      </c>
      <c r="B46" s="7"/>
      <c r="C46" s="18"/>
      <c r="D46" s="16"/>
      <c r="E46" s="16"/>
      <c r="F46" s="16"/>
      <c r="G46" s="17"/>
      <c r="H46" s="34"/>
      <c r="I46" s="16"/>
      <c r="J46" s="17"/>
      <c r="K46" s="29"/>
      <c r="L46" s="17"/>
    </row>
    <row r="47" spans="1:12" ht="15" customHeight="1" x14ac:dyDescent="0.25">
      <c r="A47" s="7"/>
      <c r="B47" s="7"/>
      <c r="C47" s="18"/>
      <c r="D47" s="16"/>
      <c r="E47" s="16"/>
      <c r="F47" s="16"/>
      <c r="G47" s="17"/>
      <c r="H47" s="34"/>
      <c r="I47" s="16"/>
      <c r="J47" s="17"/>
      <c r="K47" s="29"/>
      <c r="L47" s="17"/>
    </row>
    <row r="48" spans="1:12" ht="38.25" customHeight="1" x14ac:dyDescent="0.25">
      <c r="A48" s="11" t="s">
        <v>35</v>
      </c>
      <c r="B48" s="10">
        <f>COUNTA(B29)</f>
        <v>0</v>
      </c>
      <c r="C48" s="8" t="s">
        <v>36</v>
      </c>
      <c r="D48" s="10">
        <f>COUNTA(B35:L39)</f>
        <v>0</v>
      </c>
      <c r="E48" s="36" t="s">
        <v>37</v>
      </c>
      <c r="F48" s="17"/>
      <c r="G48" s="10">
        <f>COUNTA(C42:G46)</f>
        <v>0</v>
      </c>
      <c r="H48" s="9" t="s">
        <v>38</v>
      </c>
      <c r="I48" s="10"/>
      <c r="J48" s="11" t="s">
        <v>39</v>
      </c>
      <c r="K48" s="47"/>
      <c r="L48" s="17"/>
    </row>
  </sheetData>
  <mergeCells count="85">
    <mergeCell ref="K48:L48"/>
    <mergeCell ref="H43:J43"/>
    <mergeCell ref="C9:F9"/>
    <mergeCell ref="H41:J41"/>
    <mergeCell ref="B36:L36"/>
    <mergeCell ref="G14:J14"/>
    <mergeCell ref="A6:B6"/>
    <mergeCell ref="H9:L9"/>
    <mergeCell ref="C41:G41"/>
    <mergeCell ref="B14:F14"/>
    <mergeCell ref="C43:G43"/>
    <mergeCell ref="A10:L10"/>
    <mergeCell ref="G17:J17"/>
    <mergeCell ref="A28:L28"/>
    <mergeCell ref="G19:J19"/>
    <mergeCell ref="C2:J4"/>
    <mergeCell ref="H46:J46"/>
    <mergeCell ref="A25:L25"/>
    <mergeCell ref="C8:F8"/>
    <mergeCell ref="G16:J16"/>
    <mergeCell ref="K45:L45"/>
    <mergeCell ref="H45:J45"/>
    <mergeCell ref="B21:F21"/>
    <mergeCell ref="K11:L11"/>
    <mergeCell ref="H6:L6"/>
    <mergeCell ref="K44:L44"/>
    <mergeCell ref="K46:L46"/>
    <mergeCell ref="B13:F13"/>
    <mergeCell ref="G13:J13"/>
    <mergeCell ref="B30:L30"/>
    <mergeCell ref="A1:B4"/>
    <mergeCell ref="E48:F48"/>
    <mergeCell ref="G22:J22"/>
    <mergeCell ref="C1:J1"/>
    <mergeCell ref="A5:L5"/>
    <mergeCell ref="K1:L1"/>
    <mergeCell ref="K41:L41"/>
    <mergeCell ref="G21:J21"/>
    <mergeCell ref="B17:F17"/>
    <mergeCell ref="H42:J42"/>
    <mergeCell ref="K43:L43"/>
    <mergeCell ref="H7:L7"/>
    <mergeCell ref="C46:G46"/>
    <mergeCell ref="B29:L29"/>
    <mergeCell ref="B19:F19"/>
    <mergeCell ref="B37:L37"/>
    <mergeCell ref="A40:L40"/>
    <mergeCell ref="C6:F6"/>
    <mergeCell ref="K3:L4"/>
    <mergeCell ref="B38:L38"/>
    <mergeCell ref="K2:L2"/>
    <mergeCell ref="K42:L42"/>
    <mergeCell ref="A34:L34"/>
    <mergeCell ref="G18:J18"/>
    <mergeCell ref="B20:F20"/>
    <mergeCell ref="B15:F15"/>
    <mergeCell ref="B33:L33"/>
    <mergeCell ref="A9:B9"/>
    <mergeCell ref="B32:L32"/>
    <mergeCell ref="G11:J12"/>
    <mergeCell ref="B35:L35"/>
    <mergeCell ref="C42:G42"/>
    <mergeCell ref="G20:J20"/>
    <mergeCell ref="A11:F12"/>
    <mergeCell ref="A7:B7"/>
    <mergeCell ref="C47:G47"/>
    <mergeCell ref="A41:B41"/>
    <mergeCell ref="B39:L39"/>
    <mergeCell ref="A23:L23"/>
    <mergeCell ref="C44:G44"/>
    <mergeCell ref="H44:J44"/>
    <mergeCell ref="A8:B8"/>
    <mergeCell ref="A24:L24"/>
    <mergeCell ref="K47:L47"/>
    <mergeCell ref="H47:J47"/>
    <mergeCell ref="G15:J15"/>
    <mergeCell ref="H8:L8"/>
    <mergeCell ref="C7:F7"/>
    <mergeCell ref="B22:F22"/>
    <mergeCell ref="B16:F16"/>
    <mergeCell ref="C45:G45"/>
    <mergeCell ref="B31:L31"/>
    <mergeCell ref="B18:F18"/>
    <mergeCell ref="A26:L26"/>
    <mergeCell ref="A27:L27"/>
  </mergeCells>
  <dataValidations count="1">
    <dataValidation type="whole" allowBlank="1" showInputMessage="1" showErrorMessage="1" sqref="I48 K48:L48" xr:uid="{00000000-0002-0000-0000-000000000000}">
      <formula1>1</formula1>
      <formula2>5</formula2>
    </dataValidation>
  </dataValidations>
  <pageMargins left="0.7" right="0.7" top="0.75" bottom="0.75"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1"/>
  <sheetViews>
    <sheetView tabSelected="1" topLeftCell="A45" workbookViewId="0">
      <selection activeCell="D6" sqref="D6"/>
    </sheetView>
  </sheetViews>
  <sheetFormatPr baseColWidth="10" defaultColWidth="9.140625" defaultRowHeight="15" x14ac:dyDescent="0.25"/>
  <cols>
    <col min="1" max="1" width="8.42578125" customWidth="1"/>
    <col min="2" max="2" width="15.5703125" customWidth="1"/>
    <col min="3" max="3" width="18.28515625" customWidth="1"/>
    <col min="4" max="4" width="62.5703125" customWidth="1"/>
    <col min="5" max="5" width="116.5703125" customWidth="1"/>
  </cols>
  <sheetData>
    <row r="1" spans="1:5" ht="24" x14ac:dyDescent="0.25">
      <c r="A1" s="48" t="s">
        <v>40</v>
      </c>
      <c r="B1" s="48" t="s">
        <v>41</v>
      </c>
      <c r="C1" s="48" t="s">
        <v>42</v>
      </c>
      <c r="D1" s="48" t="s">
        <v>43</v>
      </c>
      <c r="E1" s="49" t="s">
        <v>44</v>
      </c>
    </row>
    <row r="2" spans="1:5" ht="45" x14ac:dyDescent="0.25">
      <c r="A2" s="50" t="s">
        <v>45</v>
      </c>
      <c r="B2" s="50" t="s">
        <v>9</v>
      </c>
      <c r="C2" s="50" t="str">
        <f>+LISTADO!$H$7</f>
        <v>Juan Carlos Ramírez / Diego Mesa</v>
      </c>
      <c r="D2" s="50" t="s">
        <v>46</v>
      </c>
      <c r="E2" s="50" t="s">
        <v>47</v>
      </c>
    </row>
    <row r="3" spans="1:5" ht="60" x14ac:dyDescent="0.25">
      <c r="A3" s="50" t="s">
        <v>45</v>
      </c>
      <c r="B3" s="50" t="s">
        <v>9</v>
      </c>
      <c r="C3" s="50" t="str">
        <f>+LISTADO!$H$7</f>
        <v>Juan Carlos Ramírez / Diego Mesa</v>
      </c>
      <c r="D3" s="50" t="s">
        <v>46</v>
      </c>
      <c r="E3" s="50" t="s">
        <v>48</v>
      </c>
    </row>
    <row r="4" spans="1:5" ht="60" x14ac:dyDescent="0.25">
      <c r="A4" s="50" t="s">
        <v>45</v>
      </c>
      <c r="B4" s="50" t="s">
        <v>9</v>
      </c>
      <c r="C4" s="50" t="str">
        <f>+LISTADO!$H$7</f>
        <v>Juan Carlos Ramírez / Diego Mesa</v>
      </c>
      <c r="D4" s="50" t="s">
        <v>46</v>
      </c>
      <c r="E4" s="50" t="s">
        <v>49</v>
      </c>
    </row>
    <row r="5" spans="1:5" ht="60" x14ac:dyDescent="0.25">
      <c r="A5" s="50" t="s">
        <v>45</v>
      </c>
      <c r="B5" s="50" t="s">
        <v>9</v>
      </c>
      <c r="C5" s="50" t="str">
        <f>+LISTADO!$H$7</f>
        <v>Juan Carlos Ramírez / Diego Mesa</v>
      </c>
      <c r="D5" s="50" t="s">
        <v>46</v>
      </c>
      <c r="E5" s="50" t="s">
        <v>50</v>
      </c>
    </row>
    <row r="6" spans="1:5" ht="75" x14ac:dyDescent="0.25">
      <c r="A6" s="50" t="s">
        <v>45</v>
      </c>
      <c r="B6" s="50" t="s">
        <v>9</v>
      </c>
      <c r="C6" s="50" t="str">
        <f>+LISTADO!$H$7</f>
        <v>Juan Carlos Ramírez / Diego Mesa</v>
      </c>
      <c r="D6" s="50" t="s">
        <v>46</v>
      </c>
      <c r="E6" s="50" t="s">
        <v>51</v>
      </c>
    </row>
    <row r="7" spans="1:5" ht="45" x14ac:dyDescent="0.25">
      <c r="A7" s="50" t="s">
        <v>45</v>
      </c>
      <c r="B7" s="50" t="s">
        <v>9</v>
      </c>
      <c r="C7" s="50" t="str">
        <f>+LISTADO!$H$7</f>
        <v>Juan Carlos Ramírez / Diego Mesa</v>
      </c>
      <c r="D7" s="50" t="s">
        <v>46</v>
      </c>
      <c r="E7" s="50" t="s">
        <v>52</v>
      </c>
    </row>
    <row r="8" spans="1:5" ht="45" x14ac:dyDescent="0.25">
      <c r="A8" s="50" t="s">
        <v>45</v>
      </c>
      <c r="B8" s="50" t="s">
        <v>9</v>
      </c>
      <c r="C8" s="50" t="str">
        <f>+LISTADO!$H$7</f>
        <v>Juan Carlos Ramírez / Diego Mesa</v>
      </c>
      <c r="D8" s="50" t="s">
        <v>46</v>
      </c>
      <c r="E8" s="50" t="s">
        <v>53</v>
      </c>
    </row>
    <row r="9" spans="1:5" ht="45" x14ac:dyDescent="0.25">
      <c r="A9" s="50" t="s">
        <v>45</v>
      </c>
      <c r="B9" s="50" t="s">
        <v>9</v>
      </c>
      <c r="C9" s="50" t="str">
        <f>+LISTADO!$H$7</f>
        <v>Juan Carlos Ramírez / Diego Mesa</v>
      </c>
      <c r="D9" s="50" t="s">
        <v>46</v>
      </c>
      <c r="E9" s="50" t="s">
        <v>54</v>
      </c>
    </row>
    <row r="10" spans="1:5" ht="45" x14ac:dyDescent="0.25">
      <c r="A10" s="50" t="s">
        <v>45</v>
      </c>
      <c r="B10" s="50" t="s">
        <v>9</v>
      </c>
      <c r="C10" s="50" t="str">
        <f>+LISTADO!$H$7</f>
        <v>Juan Carlos Ramírez / Diego Mesa</v>
      </c>
      <c r="D10" s="50" t="s">
        <v>46</v>
      </c>
      <c r="E10" s="50" t="s">
        <v>55</v>
      </c>
    </row>
    <row r="11" spans="1:5" ht="45" x14ac:dyDescent="0.25">
      <c r="A11" s="50" t="s">
        <v>45</v>
      </c>
      <c r="B11" s="50" t="s">
        <v>9</v>
      </c>
      <c r="C11" s="50" t="str">
        <f>+LISTADO!$H$7</f>
        <v>Juan Carlos Ramírez / Diego Mesa</v>
      </c>
      <c r="D11" s="50" t="s">
        <v>46</v>
      </c>
      <c r="E11" s="50" t="s">
        <v>56</v>
      </c>
    </row>
    <row r="12" spans="1:5" ht="75" x14ac:dyDescent="0.25">
      <c r="A12" s="50" t="s">
        <v>57</v>
      </c>
      <c r="B12" s="50" t="s">
        <v>9</v>
      </c>
      <c r="C12" s="50" t="str">
        <f>+LISTADO!$H$7</f>
        <v>Juan Carlos Ramírez / Diego Mesa</v>
      </c>
      <c r="D12" s="50" t="s">
        <v>58</v>
      </c>
      <c r="E12" s="50" t="s">
        <v>59</v>
      </c>
    </row>
    <row r="13" spans="1:5" ht="75" x14ac:dyDescent="0.25">
      <c r="A13" s="50" t="s">
        <v>57</v>
      </c>
      <c r="B13" s="50" t="s">
        <v>9</v>
      </c>
      <c r="C13" s="50" t="str">
        <f>+LISTADO!$H$7</f>
        <v>Juan Carlos Ramírez / Diego Mesa</v>
      </c>
      <c r="D13" s="50" t="s">
        <v>58</v>
      </c>
      <c r="E13" s="50" t="s">
        <v>60</v>
      </c>
    </row>
    <row r="14" spans="1:5" ht="75" x14ac:dyDescent="0.25">
      <c r="A14" s="50" t="s">
        <v>57</v>
      </c>
      <c r="B14" s="50" t="s">
        <v>9</v>
      </c>
      <c r="C14" s="50" t="str">
        <f>+LISTADO!$H$7</f>
        <v>Juan Carlos Ramírez / Diego Mesa</v>
      </c>
      <c r="D14" s="50" t="s">
        <v>58</v>
      </c>
      <c r="E14" s="50" t="s">
        <v>61</v>
      </c>
    </row>
    <row r="15" spans="1:5" ht="75" x14ac:dyDescent="0.25">
      <c r="A15" s="50" t="s">
        <v>57</v>
      </c>
      <c r="B15" s="50" t="s">
        <v>9</v>
      </c>
      <c r="C15" s="50" t="str">
        <f>+LISTADO!$H$7</f>
        <v>Juan Carlos Ramírez / Diego Mesa</v>
      </c>
      <c r="D15" s="50" t="s">
        <v>58</v>
      </c>
      <c r="E15" s="50" t="s">
        <v>62</v>
      </c>
    </row>
    <row r="16" spans="1:5" ht="75" x14ac:dyDescent="0.25">
      <c r="A16" s="50" t="s">
        <v>57</v>
      </c>
      <c r="B16" s="50" t="s">
        <v>9</v>
      </c>
      <c r="C16" s="50" t="str">
        <f>+LISTADO!$H$7</f>
        <v>Juan Carlos Ramírez / Diego Mesa</v>
      </c>
      <c r="D16" s="50" t="s">
        <v>58</v>
      </c>
      <c r="E16" s="50" t="s">
        <v>63</v>
      </c>
    </row>
    <row r="17" spans="1:5" ht="75" x14ac:dyDescent="0.25">
      <c r="A17" s="50" t="s">
        <v>57</v>
      </c>
      <c r="B17" s="50" t="s">
        <v>9</v>
      </c>
      <c r="C17" s="50" t="str">
        <f>+LISTADO!$H$7</f>
        <v>Juan Carlos Ramírez / Diego Mesa</v>
      </c>
      <c r="D17" s="50" t="s">
        <v>58</v>
      </c>
      <c r="E17" s="50" t="s">
        <v>64</v>
      </c>
    </row>
    <row r="18" spans="1:5" ht="75" x14ac:dyDescent="0.25">
      <c r="A18" s="50" t="s">
        <v>57</v>
      </c>
      <c r="B18" s="50" t="s">
        <v>9</v>
      </c>
      <c r="C18" s="50" t="str">
        <f>+LISTADO!$H$7</f>
        <v>Juan Carlos Ramírez / Diego Mesa</v>
      </c>
      <c r="D18" s="50" t="s">
        <v>58</v>
      </c>
      <c r="E18" s="50" t="s">
        <v>65</v>
      </c>
    </row>
    <row r="19" spans="1:5" ht="75" x14ac:dyDescent="0.25">
      <c r="A19" s="50" t="s">
        <v>57</v>
      </c>
      <c r="B19" s="50" t="s">
        <v>9</v>
      </c>
      <c r="C19" s="50" t="str">
        <f>+LISTADO!$H$7</f>
        <v>Juan Carlos Ramírez / Diego Mesa</v>
      </c>
      <c r="D19" s="50" t="s">
        <v>58</v>
      </c>
      <c r="E19" s="50" t="s">
        <v>66</v>
      </c>
    </row>
    <row r="20" spans="1:5" ht="75" x14ac:dyDescent="0.25">
      <c r="A20" s="50" t="s">
        <v>57</v>
      </c>
      <c r="B20" s="50" t="s">
        <v>9</v>
      </c>
      <c r="C20" s="50" t="str">
        <f>+LISTADO!$H$7</f>
        <v>Juan Carlos Ramírez / Diego Mesa</v>
      </c>
      <c r="D20" s="50" t="s">
        <v>58</v>
      </c>
      <c r="E20" s="50" t="s">
        <v>67</v>
      </c>
    </row>
    <row r="21" spans="1:5" ht="75" x14ac:dyDescent="0.25">
      <c r="A21" s="50" t="s">
        <v>57</v>
      </c>
      <c r="B21" s="50" t="s">
        <v>9</v>
      </c>
      <c r="C21" s="50" t="str">
        <f>+LISTADO!$H$7</f>
        <v>Juan Carlos Ramírez / Diego Mesa</v>
      </c>
      <c r="D21" s="50" t="s">
        <v>58</v>
      </c>
      <c r="E21" s="50" t="s">
        <v>68</v>
      </c>
    </row>
    <row r="22" spans="1:5" ht="60" x14ac:dyDescent="0.25">
      <c r="A22" s="50" t="s">
        <v>69</v>
      </c>
      <c r="B22" s="50" t="s">
        <v>9</v>
      </c>
      <c r="C22" s="50" t="str">
        <f>+LISTADO!$H$7</f>
        <v>Juan Carlos Ramírez / Diego Mesa</v>
      </c>
      <c r="D22" s="50" t="s">
        <v>70</v>
      </c>
      <c r="E22" s="50" t="s">
        <v>71</v>
      </c>
    </row>
    <row r="23" spans="1:5" ht="45" x14ac:dyDescent="0.25">
      <c r="A23" s="50" t="s">
        <v>69</v>
      </c>
      <c r="B23" s="50" t="s">
        <v>9</v>
      </c>
      <c r="C23" s="50" t="str">
        <f>+LISTADO!$H$7</f>
        <v>Juan Carlos Ramírez / Diego Mesa</v>
      </c>
      <c r="D23" s="50" t="s">
        <v>70</v>
      </c>
      <c r="E23" s="50" t="s">
        <v>72</v>
      </c>
    </row>
    <row r="24" spans="1:5" ht="60" x14ac:dyDescent="0.25">
      <c r="A24" s="50" t="s">
        <v>69</v>
      </c>
      <c r="B24" s="50" t="s">
        <v>9</v>
      </c>
      <c r="C24" s="50" t="str">
        <f>+LISTADO!$H$7</f>
        <v>Juan Carlos Ramírez / Diego Mesa</v>
      </c>
      <c r="D24" s="50" t="s">
        <v>70</v>
      </c>
      <c r="E24" s="50" t="s">
        <v>73</v>
      </c>
    </row>
    <row r="25" spans="1:5" ht="75" x14ac:dyDescent="0.25">
      <c r="A25" s="50" t="s">
        <v>69</v>
      </c>
      <c r="B25" s="50" t="s">
        <v>9</v>
      </c>
      <c r="C25" s="50" t="str">
        <f>+LISTADO!$H$7</f>
        <v>Juan Carlos Ramírez / Diego Mesa</v>
      </c>
      <c r="D25" s="50" t="s">
        <v>70</v>
      </c>
      <c r="E25" s="50" t="s">
        <v>74</v>
      </c>
    </row>
    <row r="26" spans="1:5" ht="45" x14ac:dyDescent="0.25">
      <c r="A26" s="50" t="s">
        <v>69</v>
      </c>
      <c r="B26" s="50" t="s">
        <v>9</v>
      </c>
      <c r="C26" s="50" t="str">
        <f>+LISTADO!$H$7</f>
        <v>Juan Carlos Ramírez / Diego Mesa</v>
      </c>
      <c r="D26" s="50" t="s">
        <v>70</v>
      </c>
      <c r="E26" s="50" t="s">
        <v>75</v>
      </c>
    </row>
    <row r="27" spans="1:5" ht="45" x14ac:dyDescent="0.25">
      <c r="A27" s="50" t="s">
        <v>69</v>
      </c>
      <c r="B27" s="50" t="s">
        <v>9</v>
      </c>
      <c r="C27" s="50" t="str">
        <f>+LISTADO!$H$7</f>
        <v>Juan Carlos Ramírez / Diego Mesa</v>
      </c>
      <c r="D27" s="50" t="s">
        <v>70</v>
      </c>
      <c r="E27" s="50" t="s">
        <v>76</v>
      </c>
    </row>
    <row r="28" spans="1:5" ht="60" x14ac:dyDescent="0.25">
      <c r="A28" s="50" t="s">
        <v>69</v>
      </c>
      <c r="B28" s="50" t="s">
        <v>9</v>
      </c>
      <c r="C28" s="50" t="str">
        <f>+LISTADO!$H$7</f>
        <v>Juan Carlos Ramírez / Diego Mesa</v>
      </c>
      <c r="D28" s="50" t="s">
        <v>70</v>
      </c>
      <c r="E28" s="50" t="s">
        <v>77</v>
      </c>
    </row>
    <row r="29" spans="1:5" ht="45" x14ac:dyDescent="0.25">
      <c r="A29" s="50" t="s">
        <v>69</v>
      </c>
      <c r="B29" s="50" t="s">
        <v>9</v>
      </c>
      <c r="C29" s="50" t="str">
        <f>+LISTADO!$H$7</f>
        <v>Juan Carlos Ramírez / Diego Mesa</v>
      </c>
      <c r="D29" s="50" t="s">
        <v>70</v>
      </c>
      <c r="E29" s="50" t="s">
        <v>78</v>
      </c>
    </row>
    <row r="30" spans="1:5" ht="45" x14ac:dyDescent="0.25">
      <c r="A30" s="50" t="s">
        <v>69</v>
      </c>
      <c r="B30" s="50" t="s">
        <v>9</v>
      </c>
      <c r="C30" s="50" t="str">
        <f>+LISTADO!$H$7</f>
        <v>Juan Carlos Ramírez / Diego Mesa</v>
      </c>
      <c r="D30" s="50" t="s">
        <v>70</v>
      </c>
      <c r="E30" s="50" t="s">
        <v>79</v>
      </c>
    </row>
    <row r="31" spans="1:5" ht="45" x14ac:dyDescent="0.25">
      <c r="A31" s="50" t="s">
        <v>69</v>
      </c>
      <c r="B31" s="50" t="s">
        <v>9</v>
      </c>
      <c r="C31" s="50" t="str">
        <f>+LISTADO!$H$7</f>
        <v>Juan Carlos Ramírez / Diego Mesa</v>
      </c>
      <c r="D31" s="50" t="s">
        <v>70</v>
      </c>
      <c r="E31" s="50" t="s">
        <v>80</v>
      </c>
    </row>
    <row r="32" spans="1:5" ht="60" x14ac:dyDescent="0.25">
      <c r="A32" s="50" t="s">
        <v>81</v>
      </c>
      <c r="B32" s="50" t="s">
        <v>9</v>
      </c>
      <c r="C32" s="50" t="str">
        <f>+LISTADO!$H$7</f>
        <v>Juan Carlos Ramírez / Diego Mesa</v>
      </c>
      <c r="D32" s="50" t="s">
        <v>82</v>
      </c>
      <c r="E32" s="50" t="s">
        <v>83</v>
      </c>
    </row>
    <row r="33" spans="1:5" ht="60" x14ac:dyDescent="0.25">
      <c r="A33" s="50" t="s">
        <v>81</v>
      </c>
      <c r="B33" s="50" t="s">
        <v>9</v>
      </c>
      <c r="C33" s="50" t="str">
        <f>+LISTADO!$H$7</f>
        <v>Juan Carlos Ramírez / Diego Mesa</v>
      </c>
      <c r="D33" s="50" t="s">
        <v>82</v>
      </c>
      <c r="E33" s="50" t="s">
        <v>84</v>
      </c>
    </row>
    <row r="34" spans="1:5" ht="60" x14ac:dyDescent="0.25">
      <c r="A34" s="50" t="s">
        <v>81</v>
      </c>
      <c r="B34" s="50" t="s">
        <v>9</v>
      </c>
      <c r="C34" s="50" t="str">
        <f>+LISTADO!$H$7</f>
        <v>Juan Carlos Ramírez / Diego Mesa</v>
      </c>
      <c r="D34" s="50" t="s">
        <v>82</v>
      </c>
      <c r="E34" s="50" t="s">
        <v>85</v>
      </c>
    </row>
    <row r="35" spans="1:5" ht="75" x14ac:dyDescent="0.25">
      <c r="A35" s="50" t="s">
        <v>81</v>
      </c>
      <c r="B35" s="50" t="s">
        <v>9</v>
      </c>
      <c r="C35" s="50" t="str">
        <f>+LISTADO!$H$7</f>
        <v>Juan Carlos Ramírez / Diego Mesa</v>
      </c>
      <c r="D35" s="50" t="s">
        <v>82</v>
      </c>
      <c r="E35" s="50" t="s">
        <v>86</v>
      </c>
    </row>
    <row r="36" spans="1:5" ht="45" x14ac:dyDescent="0.25">
      <c r="A36" s="50" t="s">
        <v>81</v>
      </c>
      <c r="B36" s="50" t="s">
        <v>9</v>
      </c>
      <c r="C36" s="50" t="str">
        <f>+LISTADO!$H$7</f>
        <v>Juan Carlos Ramírez / Diego Mesa</v>
      </c>
      <c r="D36" s="50" t="s">
        <v>82</v>
      </c>
      <c r="E36" s="50" t="s">
        <v>87</v>
      </c>
    </row>
    <row r="37" spans="1:5" ht="45" x14ac:dyDescent="0.25">
      <c r="A37" s="50" t="s">
        <v>81</v>
      </c>
      <c r="B37" s="50" t="s">
        <v>9</v>
      </c>
      <c r="C37" s="50" t="str">
        <f>+LISTADO!$H$7</f>
        <v>Juan Carlos Ramírez / Diego Mesa</v>
      </c>
      <c r="D37" s="50" t="s">
        <v>82</v>
      </c>
      <c r="E37" s="50" t="s">
        <v>88</v>
      </c>
    </row>
    <row r="38" spans="1:5" ht="45" x14ac:dyDescent="0.25">
      <c r="A38" s="50" t="s">
        <v>81</v>
      </c>
      <c r="B38" s="50" t="s">
        <v>9</v>
      </c>
      <c r="C38" s="50" t="str">
        <f>+LISTADO!$H$7</f>
        <v>Juan Carlos Ramírez / Diego Mesa</v>
      </c>
      <c r="D38" s="50" t="s">
        <v>82</v>
      </c>
      <c r="E38" s="50" t="s">
        <v>89</v>
      </c>
    </row>
    <row r="39" spans="1:5" ht="60" x14ac:dyDescent="0.25">
      <c r="A39" s="50" t="s">
        <v>81</v>
      </c>
      <c r="B39" s="50" t="s">
        <v>9</v>
      </c>
      <c r="C39" s="50" t="str">
        <f>+LISTADO!$H$7</f>
        <v>Juan Carlos Ramírez / Diego Mesa</v>
      </c>
      <c r="D39" s="50" t="s">
        <v>82</v>
      </c>
      <c r="E39" s="50" t="s">
        <v>90</v>
      </c>
    </row>
    <row r="40" spans="1:5" ht="45" x14ac:dyDescent="0.25">
      <c r="A40" s="50" t="s">
        <v>81</v>
      </c>
      <c r="B40" s="50" t="s">
        <v>9</v>
      </c>
      <c r="C40" s="50" t="str">
        <f>+LISTADO!$H$7</f>
        <v>Juan Carlos Ramírez / Diego Mesa</v>
      </c>
      <c r="D40" s="50" t="s">
        <v>82</v>
      </c>
      <c r="E40" s="50" t="s">
        <v>91</v>
      </c>
    </row>
    <row r="41" spans="1:5" ht="45" x14ac:dyDescent="0.25">
      <c r="A41" s="50" t="s">
        <v>81</v>
      </c>
      <c r="B41" s="50" t="s">
        <v>9</v>
      </c>
      <c r="C41" s="50" t="str">
        <f>+LISTADO!$H$7</f>
        <v>Juan Carlos Ramírez / Diego Mesa</v>
      </c>
      <c r="D41" s="50" t="s">
        <v>82</v>
      </c>
      <c r="E41" s="50" t="s">
        <v>92</v>
      </c>
    </row>
    <row r="42" spans="1:5" ht="75" x14ac:dyDescent="0.25">
      <c r="A42" s="50" t="s">
        <v>93</v>
      </c>
      <c r="B42" s="50" t="s">
        <v>9</v>
      </c>
      <c r="C42" s="50" t="str">
        <f>+LISTADO!$H$7</f>
        <v>Juan Carlos Ramírez / Diego Mesa</v>
      </c>
      <c r="D42" s="50" t="s">
        <v>94</v>
      </c>
      <c r="E42" s="50" t="s">
        <v>95</v>
      </c>
    </row>
    <row r="43" spans="1:5" ht="75" x14ac:dyDescent="0.25">
      <c r="A43" s="50" t="s">
        <v>93</v>
      </c>
      <c r="B43" s="50" t="s">
        <v>9</v>
      </c>
      <c r="C43" s="50" t="str">
        <f>+LISTADO!$H$7</f>
        <v>Juan Carlos Ramírez / Diego Mesa</v>
      </c>
      <c r="D43" s="50" t="s">
        <v>94</v>
      </c>
      <c r="E43" s="50" t="s">
        <v>96</v>
      </c>
    </row>
    <row r="44" spans="1:5" ht="75" x14ac:dyDescent="0.25">
      <c r="A44" s="50" t="s">
        <v>93</v>
      </c>
      <c r="B44" s="50" t="s">
        <v>9</v>
      </c>
      <c r="C44" s="50" t="str">
        <f>+LISTADO!$H$7</f>
        <v>Juan Carlos Ramírez / Diego Mesa</v>
      </c>
      <c r="D44" s="50" t="s">
        <v>94</v>
      </c>
      <c r="E44" s="50" t="s">
        <v>97</v>
      </c>
    </row>
    <row r="45" spans="1:5" ht="45" x14ac:dyDescent="0.25">
      <c r="A45" s="50" t="s">
        <v>93</v>
      </c>
      <c r="B45" s="50" t="s">
        <v>9</v>
      </c>
      <c r="C45" s="50" t="str">
        <f>+LISTADO!$H$7</f>
        <v>Juan Carlos Ramírez / Diego Mesa</v>
      </c>
      <c r="D45" s="50" t="s">
        <v>94</v>
      </c>
      <c r="E45" s="50" t="s">
        <v>98</v>
      </c>
    </row>
    <row r="46" spans="1:5" ht="45" x14ac:dyDescent="0.25">
      <c r="A46" s="50" t="s">
        <v>93</v>
      </c>
      <c r="B46" s="50" t="s">
        <v>9</v>
      </c>
      <c r="C46" s="50" t="str">
        <f>+LISTADO!$H$7</f>
        <v>Juan Carlos Ramírez / Diego Mesa</v>
      </c>
      <c r="D46" s="50" t="s">
        <v>94</v>
      </c>
      <c r="E46" s="50" t="s">
        <v>99</v>
      </c>
    </row>
    <row r="47" spans="1:5" ht="45" x14ac:dyDescent="0.25">
      <c r="A47" s="50" t="s">
        <v>93</v>
      </c>
      <c r="B47" s="50" t="s">
        <v>9</v>
      </c>
      <c r="C47" s="50" t="str">
        <f>+LISTADO!$H$7</f>
        <v>Juan Carlos Ramírez / Diego Mesa</v>
      </c>
      <c r="D47" s="50" t="s">
        <v>94</v>
      </c>
      <c r="E47" s="50" t="s">
        <v>100</v>
      </c>
    </row>
    <row r="48" spans="1:5" ht="45" x14ac:dyDescent="0.25">
      <c r="A48" s="50" t="s">
        <v>93</v>
      </c>
      <c r="B48" s="50" t="s">
        <v>9</v>
      </c>
      <c r="C48" s="50" t="str">
        <f>+LISTADO!$H$7</f>
        <v>Juan Carlos Ramírez / Diego Mesa</v>
      </c>
      <c r="D48" s="50" t="s">
        <v>94</v>
      </c>
      <c r="E48" s="50" t="s">
        <v>101</v>
      </c>
    </row>
    <row r="49" spans="1:5" ht="45" x14ac:dyDescent="0.25">
      <c r="A49" s="50" t="s">
        <v>93</v>
      </c>
      <c r="B49" s="50" t="s">
        <v>9</v>
      </c>
      <c r="C49" s="50" t="str">
        <f>+LISTADO!$H$7</f>
        <v>Juan Carlos Ramírez / Diego Mesa</v>
      </c>
      <c r="D49" s="50" t="s">
        <v>94</v>
      </c>
      <c r="E49" s="50" t="s">
        <v>102</v>
      </c>
    </row>
    <row r="50" spans="1:5" ht="45" x14ac:dyDescent="0.25">
      <c r="A50" s="50" t="s">
        <v>93</v>
      </c>
      <c r="B50" s="50" t="s">
        <v>9</v>
      </c>
      <c r="C50" s="50" t="str">
        <f>+LISTADO!$H$7</f>
        <v>Juan Carlos Ramírez / Diego Mesa</v>
      </c>
      <c r="D50" s="50" t="s">
        <v>94</v>
      </c>
      <c r="E50" s="50" t="s">
        <v>103</v>
      </c>
    </row>
    <row r="51" spans="1:5" ht="45" x14ac:dyDescent="0.25">
      <c r="A51" s="50" t="s">
        <v>93</v>
      </c>
      <c r="B51" s="50" t="s">
        <v>9</v>
      </c>
      <c r="C51" s="50" t="str">
        <f>+LISTADO!$H$7</f>
        <v>Juan Carlos Ramírez / Diego Mesa</v>
      </c>
      <c r="D51" s="50" t="s">
        <v>94</v>
      </c>
      <c r="E51" s="50" t="s">
        <v>104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LISTADO</vt:lpstr>
      <vt:lpstr>Banco Preguntas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yesidrf@gmail.com</dc:creator>
  <cp:lastModifiedBy>Luis Octavio Arango Colorado</cp:lastModifiedBy>
  <dcterms:created xsi:type="dcterms:W3CDTF">2014-06-17T13:38:35Z</dcterms:created>
  <dcterms:modified xsi:type="dcterms:W3CDTF">2026-06-30T11:38:08Z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0x0101005529915A2A907943A8652EDE50EB40DA</vt:lpwstr>
  </property>
  <property fmtid="{D5CDD505-2E9C-101B-9397-08002B2CF9AE}" pid="3" name="Order">
    <vt:r8>3300</vt:r8>
  </property>
  <property fmtid="{D5CDD505-2E9C-101B-9397-08002B2CF9AE}" pid="4" name="MediaServiceImageTags">
    <vt:lpwstr/>
  </property>
</Properties>
</file>
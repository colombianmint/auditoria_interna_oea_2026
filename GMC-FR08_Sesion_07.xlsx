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7" documentId="11_541EDA588D6D4E3529AF7BA0F0988A804CD6E1A5" xr6:coauthVersionLast="47" xr6:coauthVersionMax="47" xr10:uidLastSave="{38D04A56-25EF-49B6-B04B-14F508C13A66}"/>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<sst xmlns="http://schemas.openxmlformats.org/spreadsheetml/2006/main" count="485" uniqueCount="177">
  <si>
    <t xml:space="preserve">CI COLOMBIAN MINT </t>
  </si>
  <si>
    <t>Codigo: GMC-FR08</t>
  </si>
  <si>
    <t xml:space="preserve">   LISTADO DE VERIFICACION </t>
  </si>
  <si>
    <t>Versión:1</t>
  </si>
  <si>
    <t>Fecha de aprobación: 
01/07/2021</t>
  </si>
  <si>
    <t>1. PLANIFICACIÓN DE LA AUDITORIA</t>
  </si>
  <si>
    <t xml:space="preserve">FECHA </t>
  </si>
  <si>
    <t>2026-07-09</t>
  </si>
  <si>
    <t>PROCESO</t>
  </si>
  <si>
    <t>GHM GESTION HUMANA</t>
  </si>
  <si>
    <t xml:space="preserve">AUDITOR </t>
  </si>
  <si>
    <t>Luis Arango</t>
  </si>
  <si>
    <t>AUDITADO</t>
  </si>
  <si>
    <t>Milady López / Isabel Escobar</t>
  </si>
  <si>
    <t>DOCUMENTOS RELACIONADOS</t>
  </si>
  <si>
    <t>GMC-FR07 Plan Auditorías 2026 · Res. 015/2016 Art. 4º · GMC-FR08</t>
  </si>
  <si>
    <t>REQUISITOS</t>
  </si>
  <si>
    <t>OEA 1.7, OEA 1.8, OEA 5.1, OEA 5.2, OEA 5.3, OEA 5.4, OEA 5.5, OEA 5.6, OEA 9.2, OEA 9.3, OEA 9.4</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</si>
  <si>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</si>
  <si>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</si>
  <si>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</si>
  <si>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</si>
  <si>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</si>
  <si>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</si>
  <si>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</si>
  <si>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</si>
  <si>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</si>
  <si>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</si>
  <si>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</si>
  <si>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</si>
  <si>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</si>
  <si>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</si>
  <si>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</si>
  <si>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</si>
  <si>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</si>
  <si>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</si>
  <si>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</si>
  <si>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</si>
  <si>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</si>
  <si>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</si>
  <si>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</si>
  <si>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</si>
  <si>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</si>
  <si>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</si>
  <si>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</si>
  <si>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1.7</t>
  </si>
  <si>
    <t>Identificar y mantener actualizados los cargos críticos relacionados con la seguridad de la cadena de suministro.</t>
  </si>
  <si>
    <t>¿Mencione el sistema o matriz de riesgos implementado para identificar los cargos críticos. indique la ubicación en el documento (numeral, ítem, párrafos, página, etc.) Indique versión, fecha e identificación en el SGD. Para sustentar, presente evidencia documental vigente de Colombian Mint, tales como: GHM-MT01 (Matriz de Cargos Críticos), GHM-MT04 (Matriz de Estudio Socioeconómico y Visitas Domiciliarias)?</t>
  </si>
  <si>
    <t>¿Cuenta con un documento(s) que contenga la metodología para medir el nivel de riesgo de los cargos críticos en la CSI? indique la ubicación en el documento (numeral, ítem, párrafos, página, etc.) Indique versión, fecha e identificación en el SGD. Para sustentar, presente evidencia documental vigente de Colombian Mint, tales como: GHM-MT01 (Matriz de Cargos Críticos), GHM-GU02 (Guía de cargos críticos)?</t>
  </si>
  <si>
    <t>¿Señale la fecha en que se realizó la última actualización de la evaluación de criticidad de los cargos. ¿Qué registros o documentos (GHM-MT01 (Matriz de Cargos Críticos), GHM-GU02 (Guía de cargos críticos)) demuestran el cumplimiento de lo solicitado?</t>
  </si>
  <si>
    <t>¿Relacione las evidencias de implementación (Ej. Matriz de evaluación, procedimiento, instructivo, metodología, soportes de evaluación, actas de reunión, etc.). Para sustentar, presente evidencia documental vigente de Colombian Mint, tales como: GHM-MT04 (Matriz de Estudio Socioeconómico y Visitas Domiciliarias), GHM-MT01 (Matriz de Cargos Críticos)?</t>
  </si>
  <si>
    <t>¿según criterios de auditoría OEA (ISO 19011) para el requisito OEA 1.7: Organigrama de seguridad. ¿Qué evidencia objetiva presenta el auditado? Documentos de referencia: GPE-DC02 (Organigrama General), GHM-FR10 (Lista de Chequeo Selección y Contratación)?</t>
  </si>
  <si>
    <t>¿según criterios de auditoría OEA (ISO 19011) para el requisito OEA 1.7: Listado de cargos críticos con funciones. ¿Qué evidencia objetiva presenta el auditado? Documentos de referencia: GHM-MT01 (Matriz de Cargos Críticos), GHM-GU02 (Guía de cargos críticos)?</t>
  </si>
  <si>
    <t>¿Verifique el documento GHM-FR16 (Descripción del Cargo). ¿Está vigente, identificado en el SGD, aprobado por la autoridad competente y en aplicación para el requisito OEA 1.7?</t>
  </si>
  <si>
    <t>¿en la auditoría ARCA (marzo 2025) se registró respecto a OEA 1.7: "En la verificación de la GHM-MT01 matriz de cargos críticos de la compañía se evidencia que Asistente administrativo y experiencia (Aura de aguas Domínguez) tiene acceso a información del proceso de exportación, sin emba". ¿Cuál es el estado actual de las acciones correctivas y su verificación efectiva? Evidencia de cierre sugerida: GHM-MT01 (Matriz de Cargos Críticos)?</t>
  </si>
  <si>
    <t>¿El requisito OEA 1.7 exige: "Identificar y mantener actualizados los cargos críticos relacionados con la seguridad de la cadena de suministro." ¿Qué controles operativos y registros demuestran su cumplimiento sostenido en Colombian Mint?</t>
  </si>
  <si>
    <t>¿Presente el GHM-MT02 y sus registros asociados. ¿Con qué periodicidad se actualiza, quién es el responsable y cómo se evidencia su aplicación al requisito OEA 1.7?</t>
  </si>
  <si>
    <t>OEA 1.8</t>
  </si>
  <si>
    <t>Tener establecidas cláusulas de confidencialidad y de responsabilidad en los contratos de su personal vinculado.</t>
  </si>
  <si>
    <t>¿Mencione el documento o formato en el que se evidencia las cláusulas de confidencialidad y responsabilidad, si estas se encuentran en un contrato, mencione el número de la cláusula de confidencialidad y de responsabilidad. Para sustentar, presente evidencia documental vigente de Colombian Mint, tales como: GTI-GU01 (Política de Seguridad de la Información, si aplica a confidencialidad ), GHM-FR28 (Contrato Individual de Trabajo a Término Indefinido)?</t>
  </si>
  <si>
    <t>¿Cuenta con un documento(s) con los lineamientos para establecer la cláusula? indique la ubicación en el documento (numeral, ítem, párrafos, página, etc.). Indique versión, fecha e identificación en el SGD. Para sustentar, presente evidencia documental vigente de Colombian Mint, tales como: GTI-GU01 (Política de Seguridad de la Información, si aplica a confidencialidad ), GHM-FR28 (Contrato Individual de Trabajo a Término Indefinido)?</t>
  </si>
  <si>
    <t>¿Relacione las evidencias de implementación (Ej. Procedimiento, documento con la instrucción, cláusula de confidencialidad y responsabilidad, etc.). Para sustentar, presente evidencia documental vigente de Colombian Mint, tales como: GTI-GU01 (Política de Seguridad de la Información, si aplica a confidencialidad ), GHM-PR01 (Procedimiento Gestión Humana)?</t>
  </si>
  <si>
    <t>¿según criterios de auditoría OEA (ISO 19011) para el requisito OEA 1.8: Contratos laborales con cláusulas específicas. ¿Qué evidencia objetiva presenta el auditado? Documentos de referencia: GTI-GU01 (Política de Seguridad de la Información, si aplica a confidencialidad ), GHM-FR28 (Contrato Individual de Trabajo a Término Indefinido)?</t>
  </si>
  <si>
    <t>¿según criterios de auditoría OEA (ISO 19011) para el requisito OEA 1.8: Acuerdos de confidencialidad firmados. ¿Qué evidencia objetiva presenta el auditado? Documentos de referencia: GTI-GU01 (Política de Seguridad de la Información, si aplica a confidencialidad ), GHM-FR29 (Acuerdo de Confidencialidad y Propiedad Intelectual)?</t>
  </si>
  <si>
    <t>¿Verifique el documento GHM-FR31 (Contrato Individual de Trabajo a Término Fijo). ¿Está vigente, identificado en el SGD, aprobado por la autoridad competente y en aplicación para el requisito OEA 1.8?</t>
  </si>
  <si>
    <t>¿Verifique el documento GCP-GU01 (Código de Ética y Buen Gobierno.). ¿Está vigente, identificado en el SGD, aprobado por la autoridad competente y en aplicación para el requisito OEA 1.8?</t>
  </si>
  <si>
    <t>¿Verifique el documento GHM-GU05 (Proceso de Selección y Contratación). ¿Está vigente, identificado en el SGD, aprobado por la autoridad competente y en aplicación para el requisito OEA 1.8?</t>
  </si>
  <si>
    <t>¿El requisito OEA 1.8 exige: "Tener establecidas cláusulas de confidencialidad y de responsabilidad en los contratos de su personal vinculado." ¿Qué controles operativos y registros demuestran su cumplimiento sostenido en Colombian Mint?</t>
  </si>
  <si>
    <t>¿El personal entrevistado conoce los requisitos de OEA 1.8 y su responsabilidad en el cumplimiento? Solicite evidencia de socialización, inducción o capacitación?</t>
  </si>
  <si>
    <t>OEA 5.1</t>
  </si>
  <si>
    <t>Debe tener procedimientos documentados para la selección de candidatos con posibilidad de ser vinculados a la empresa en cualquier modalidad de contrato.</t>
  </si>
  <si>
    <t>¿Mencione el documento(s) con el procedimiento para la selección de candidatos y si hubo cambios en la metodología. indique la ubicación en el documento (numeral, ítem, párrafos, página, etc.) Indique versión, fecha e identificación en el SGD. Para sustentar, presente evidencia documental vigente de Colombian Mint, tales como: GHM-PR01 (Procedimiento Gestión Humana), GHM-FR10 (Lista de Chequeo Selección y Contratación)?</t>
  </si>
  <si>
    <t>¿Mencione los formatos utilizados en el proceso de selección de candidatos. Señale la identificación con la que se caracteriza en el SGD. Para sustentar, presente evidencia documental vigente de Colombian Mint, tales como: GHM-GU05 (Proceso de Selección y Contratación), GHM-FR10 (Lista de Chequeo Selección y Contratación)?</t>
  </si>
  <si>
    <t>¿Cuenta con requisito especial en seguridad aplicable a los cargos catalogados como críticos. ¿Qué registros o documentos (GHM-FR10 (Lista de Chequeo Selección y Contratación), GHM-GU05 (Proceso de Selección y Contratación)) demuestran el cumplimiento de lo solicitado?</t>
  </si>
  <si>
    <t>¿Cuentan con cláusulas de seguridad o lineamientos específicos para los contratos de servicios temporales, in-house, practicantes que ocupan cargos en la CSI. ¿Qué registros o documentos (GHM-FR10 (Lista de Chequeo Selección y Contratación), GHM-GU05 (Proceso de Selección y Contratación)) demuestran el cumplimiento de lo solicitado?</t>
  </si>
  <si>
    <t>¿si tiene tercerizado este proceso, mencione el prestador del servicio ¿Cuenta con cláusulas de seguridad, acuerdos, SOP que garanticen el control y la reserva. Para sustentar, presente evidencia documental vigente de Colombian Mint, tales como: GHM-GU05 (Proceso de Selección y Contratación), GHM-FR10 (Lista de Chequeo Selección y Contratación)?</t>
  </si>
  <si>
    <t>¿Relacione las evidencias de implementación (Ej. Manuales, procedimientos, instructivos, registro de procesos de selección, flujogramas, mecanismos para atraer el talento humano, cláusulas de seguridad, etc.). Para sustentar, presente evidencia documental vigente de Colombian Mint, tales como: GHM-FR10 (Lista de Chequeo Selección y Contratación), GHM-GU05 (Proceso de Selección y Contratación)?</t>
  </si>
  <si>
    <t>¿según criterios de auditoría OEA (ISO 19011) para el requisito OEA 5.1: Manual de selección y vinculación de personal. ¿Qué evidencia objetiva presenta el auditado? Documentos de referencia: GHM-FR10 (Lista de Chequeo Selección y Contratación), GHM-GU05 (Proceso de Selección y Contratación)?</t>
  </si>
  <si>
    <t>¿según criterios de auditoría OEA (ISO 19011) para el requisito OEA 5.1: Formatos de entrevista y evaluación. ¿Qué evidencia objetiva presenta el auditado? Documentos de referencia: GHM-FR10 (Lista de Chequeo Selección y Contratación), GHM-FR35 (Entrevista por competencias)?</t>
  </si>
  <si>
    <t>¿Verifique el documento GHM-FR33 (Análisis del cumplimiento del perfil). ¿Está vigente, identificado en el SGD, aprobado por la autoridad competente y en aplicación para el requisito OEA 5.1?</t>
  </si>
  <si>
    <t>¿Verifique el documento GHM-FR14 (Aceptación de Pruebas de Ingreso y Rutina.). ¿Está vigente, identificado en el SGD, aprobado por la autoridad competente y en aplicación para el requisito OEA 5.1?</t>
  </si>
  <si>
    <t>OEA 5.2</t>
  </si>
  <si>
    <t>Debe mantener actualizada la historia laboral del personal vinculado que incluya información personal y familiar, revisión de antecedentes, archivo fotográfico, registro de huella dactilar y firma.</t>
  </si>
  <si>
    <t>¿Cuenta con un documento(s) con los lineamientos para actualizar las historias laborales? indique la ubicación en el documento (numeral, ítem, párrafos, página, etc.) Indique versión, fecha e identificación en el SGD. Para sustentar, presente evidencia documental vigente de Colombian Mint, tales como: GHM-FR09 (Formato Actualización de Datos Personales), GHM-FR10 (Lista de Chequeo Selección y Contratación)?</t>
  </si>
  <si>
    <t>¿Mencione la metodología utilizada y/o formato(s) utilizados para documentar la actualización de la historia laboral. Indique versión, fecha e identificación en el SGD. Para sustentar, presente evidencia documental vigente de Colombian Mint, tales como: GHM-FR09 (Formato Actualización de Datos Personales), GHM-FR06 (Formato de entrega de carné corporativo.)?</t>
  </si>
  <si>
    <t>¿Mencione la periodicidad en que se realiza la actualización de la historia laboral. Para sustentar, presente evidencia documental vigente de Colombian Mint, tales como: GHM-FR09 (Formato Actualización de Datos Personales), GHM-GU09 (Guía Actualización de Datos Personales)?</t>
  </si>
  <si>
    <t>¿Cómo se realiza la revisión de los antecedentes. ¿Qué registros o documentos (GHM-FR09 (Formato Actualización de Datos Personales), GHM-FR10 (Lista de Chequeo Selección y Contratación)) demuestran el cumplimiento de lo solicitado?</t>
  </si>
  <si>
    <t>¿si tiene tercerizado este proceso, ¿Cuenta con cláusulas de seguridad, acuerdos, SOP que garanticen el control y la reserva. ¿Qué registros o documentos (GHM-GU05 (Proceso de Selección y Contratación), GHM-FR09 (Formato Actualización de Datos Personales)) demuestran el cumplimiento de lo solicitado?</t>
  </si>
  <si>
    <t>¿Relacione las evidencias de implementación (Ej. Manuales, procedimientos, instructivos, formatos para registrar la información requerida y antecedentes, formatos para los registros y actualizaciones, captura de lectores de identificación, etc.). Para sustentar, presente evidencia documental vigente de Colombian Mint, tales como: GHM-FR09 (Formato Actualización de Datos Personales), GHM-FR10 (Lista de Chequeo Selección y Contratación)?</t>
  </si>
  <si>
    <t>¿según criterios de auditoría OEA (ISO 19011) para el requisito OEA 5.2: Carpetas físicas o digitales de historia laboral por empleado. ¿Qué evidencia objetiva presenta el auditado? Documentos de referencia: GHM-FR13 (Huellas dactilares y firma de empleados), GHM-FR09 (Formato Actualización de Datos Personales)?</t>
  </si>
  <si>
    <t>¿según criterios de auditoría OEA (ISO 19011) para el requisito OEA 5.2: Hojas de vida actualizadas del personal, con soportes de las verificaciones de antecedentes y estudios de seguridad realizados, especialmente para cargos críticos. ¿Qué evidencia objetiva presenta el auditado? Documentos de referencia: GHM-FR09 (Formato Actualización de Datos Personales), GPD-GU01 (Política de Protección de Datos Personal)?</t>
  </si>
  <si>
    <t>¿según criterios de auditoría OEA (ISO 19011) para el requisito OEA 5.2: Certificados de antecedentes judiciales, fiscales y disciplinarios. ¿Qué evidencia objetiva presenta el auditado? Documentos de referencia: GHM-FR09 (Formato Actualización de Datos Personales), GHM-FR10 (Lista de Chequeo Selección y Contratación)?</t>
  </si>
  <si>
    <t>¿según criterios de auditoría OEA (ISO 19011) para el requisito OEA 5.2: Formato de consentimiento informado. ¿Qué evidencia objetiva presenta el auditado? Documentos de referencia: GHM-FR09 (Formato Actualización de Datos Personales), GHM-FR06 (Formato de entrega de carné corporativo.)?</t>
  </si>
  <si>
    <t>OEA 5.3</t>
  </si>
  <si>
    <t>Debe realizar y documentar bienalmente, estudios socioeconómicos que incluyan visitas domiciliarias al personal que ocupa cargos críticos.</t>
  </si>
  <si>
    <t>¿Mencione el documento donde se establece la realización bienal de los estudios socioeconómicos y las visitas domiciliarias? indique la ubicación en el documento (numeral, ítem, párrafos, página, etc.) Indique versión, fecha e identificación en el SGD. Para sustentar, presente evidencia documental vigente de Colombian Mint, tales como: GHM-MT04 (Matriz de Estudio Socioeconómico y Visitas Domiciliarias), GHM-GU04 (Guía Visitas Domiciliarias y Estudio Socioeconómico)?</t>
  </si>
  <si>
    <t>¿Mencione el documento(s) o formato(s) utilizado para registrar los estudios socioeconómicos y las visitas domiciliarias. Señale la identificación con la que se caracteriza en el SGD. Para sustentar, presente evidencia documental vigente de Colombian Mint, tales como: GHM-MT04 (Matriz de Estudio Socioeconómico y Visitas Domiciliarias), GHM-GU04 (Guía Visitas Domiciliarias y Estudio Socioeconómico)?</t>
  </si>
  <si>
    <t>¿si tiene tercerizado este proceso, mencione el prestador de servicio ¿Cuenta con un contrato, protocolo o procedimiento con los parámetros para la realización de los estudios socioeconómicos y la visita domiciliaria. Para sustentar, presente evidencia documental vigente de Colombian Mint, tales como: GHM-MT04 (Matriz de Estudio Socioeconómico y Visitas Domiciliarias), GHM-GU04 (Guía Visitas Domiciliarias y Estudio Socioeconómico)?</t>
  </si>
  <si>
    <t>¿Relacione las evidencias de implementación (Ej. Manual, procedimiento, instructivo, registro o informe del estudio socioeconómico y de la visita, registros fotográficos, cronogramas, contratos, cláusulas, protocolos, etc.). Para sustentar, presente evidencia documental vigente de Colombian Mint, tales como: GHM-MT04 (Matriz de Estudio Socioeconómico y Visitas Domiciliarias), GHM-GU04 (Guía Visitas Domiciliarias y Estudio Socioeconómico)?</t>
  </si>
  <si>
    <t>¿según criterios de auditoría OEA (ISO 19011) para el requisito OEA 5.3: Informe de estudio socioeconómico (por empleado crítico). ¿Qué evidencia objetiva presenta el auditado? Documentos de referencia: GHM-MT04 (Matriz de Estudio Socioeconómico y Visitas Domiciliarias), GHM-GU04 (Guía Visitas Domiciliarias y Estudio Socioeconómico)?</t>
  </si>
  <si>
    <t>¿según criterios de auditoría OEA (ISO 19011) para el requisito OEA 5.3: Listado de cargos críticos identificados en la compañía. ¿Qué evidencia objetiva presenta el auditado? Documentos de referencia: GHM-MT01 (Matriz de Cargos Críticos), GHM-GU02 (Guía de cargos críticos)?</t>
  </si>
  <si>
    <t>¿Verifique el documento GHM-FR15 (Formato análisis visita domiciliaria y estudio socioeconómico). ¿Está vigente, identificado en el SGD, aprobado por la autoridad competente y en aplicación para el requisito OEA 5.3?</t>
  </si>
  <si>
    <t>¿Verifique el documento GHM-FR14 (Aceptación de Pruebas de Ingreso y Rutina.). ¿Está vigente, identificado en el SGD, aprobado por la autoridad competente y en aplicación para el requisito OEA 5.3?</t>
  </si>
  <si>
    <t>¿El requisito OEA 5.3 exige: "Debe realizar y documentar bienalmente, estudios socioeconómicos que incluyan visitas domiciliarias al personal que ocupa cargos críticos." ¿Qué controles operativos y registros demuestran su cumplimiento sostenido en Colombian Mint?</t>
  </si>
  <si>
    <t>¿El personal entrevistado conoce los requisitos de OEA 5.3 y su responsabilidad en el cumplimiento? Solicite evidencia de socialización, inducción o capacitación?</t>
  </si>
  <si>
    <t>OEA 5.4</t>
  </si>
  <si>
    <t>Debe tener procedimientos documentados para el seguimiento y análisis de resultados de los estudios socioeconómicos y las visitas domiciliarias, que permitan detectar cambios relevantes o injustificados en el patrimonio del personal vinculado.</t>
  </si>
  <si>
    <t>¿Mencione el procedimiento para realizar seguimiento y análisis a los estudios socioeconómicos y las visitas domiciliarias, en el que señala el tratamiento dado en caso de un hallazgo. Indique la ubicación en el documento (numeral, ítem, párrafos, página, etc.) Indique versión, fecha e identificación en el SGD. Para sustentar, presente evidencia documental vigente de Colombian Mint, tales como: GHM-MT04 (Matriz de Estudio Socioeconómico y Visitas Domiciliarias), GHM-GU04 (Guía Visitas Domiciliarias y Estudio Socioeconómico)?</t>
  </si>
  <si>
    <t>¿Mencione el documento(s) o formato(s) utilizado para registrar el seguimiento y análisis comparativo de los estudios socioeconómicos y las visitas domiciliarias. Indique versión, fecha e identificación en el SGD. Para sustentar, presente evidencia documental vigente de Colombian Mint, tales como: GHM-MT04 (Matriz de Estudio Socioeconómico y Visitas Domiciliarias), GHM-GU04 (Guía Visitas Domiciliarias y Estudio Socioeconómico)?</t>
  </si>
  <si>
    <t>¿Relacione los cargos críticos y la fecha en la que se realizó el seguimiento y análisis de los estudios socioeconómicos y las visitas domiciliarias. ¿Qué registros o documentos (GHM-MT04 (Matriz de Estudio Socioeconómico y Visitas Domiciliarias), GHM-GU04 (Guía Visitas Domiciliarias y Estudio Socioeconómico)) demuestran el cumplimiento de lo solicitado?</t>
  </si>
  <si>
    <t>¿Se ha evidenciado casos donde se presente cambios relevantes o injustificados en el personal que ocupa cargos críticos. ¿Qué registros o documentos (GHM-GU08 (Cambios en el patrimonio), GHM-MT04 (Matriz de Estudio Socioeconómico y Visitas Domiciliarias)) demuestran el cumplimiento de lo solicitado?</t>
  </si>
  <si>
    <t>¿Relacione las evidencias de implementación (Ej. Manual, procedimiento, instructivo, registro o informe del seguimiento y resultado del comparativa bienal de la situación socioeconómica, registros fotográficos, etc.). Para sustentar, presente evidencia documental vigente de Colombian Mint, tales como: GCP-GU06 (Procedimiento para la detección tratamiento y solución de denuncias), GHM-MT04 (Matriz de Estudio Socioeconómico y Visitas Domiciliarias)?</t>
  </si>
  <si>
    <t>¿según criterios de auditoría OEA (ISO 19011) para el requisito OEA 5.4: Procedimiento documentado de seguimiento de condiciones socioeconómicas. ¿Qué evidencia objetiva presenta el auditado? Documentos de referencia: GCP-GU06 (Procedimiento para la detección tratamiento y solución de denuncias), GHM-MT04 (Matriz de Estudio Socioeconómico y Visitas Domiciliarias)?</t>
  </si>
  <si>
    <t>¿según criterios de auditoría OEA (ISO 19011) para el requisito OEA 5.4: Actas de comité de revisión o análisis. ¿Qué evidencia objetiva presenta el auditado? Documentos de referencia: GHM-MT02 (Matriz Análisis Patrimonio), GHM-MT04 (Matriz de Estudio Socioeconómico y Visitas Domiciliarias)?</t>
  </si>
  <si>
    <t>¿según criterios de auditoría OEA (ISO 19011) para el requisito OEA 5.4: Reportes de cambios detectados en patrimonio o estilo de vida. ¿Qué evidencia objetiva presenta el auditado? Documentos de referencia: GHM-GU08 (Cambios en el patrimonio), GHM-MT02 (Matriz Análisis Patrimonio)?</t>
  </si>
  <si>
    <t>¿según criterios de auditoría OEA (ISO 19011) para el requisito OEA 5.4: Alertas internas y planes de acción derivados. ¿Qué evidencia objetiva presenta el auditado? Documentos de referencia: GHM-MT04 (Matriz de Estudio Socioeconómico y Visitas Domiciliarias), GHM-GU04 (Guía Visitas Domiciliarias y Estudio Socioeconómico)?</t>
  </si>
  <si>
    <t>¿Verifique el documento GCP-FR11 (Reporte Interno y Seguimiento de Denuncias.). ¿Está vigente, identificado en el SGD, aprobado por la autoridad competente y en aplicación para el requisito OEA 5.4?</t>
  </si>
  <si>
    <t>OEA 5.5</t>
  </si>
  <si>
    <t>Debe tener procedimientos documentados para el retiro del personal.</t>
  </si>
  <si>
    <t>¿Mencione el procedimiento para el retiro de personal y si hubo cambios de la metodología. Indique la ubicación en el documento (numeral, ítem, párrafos, página, etc.) Indique versión, fecha e identificación en el SGD. Para sustentar, presente evidencia documental vigente de Colombian Mint, tales como: GTI-PR01 (Procedimiento Gestión de Tecnología e Informática.), GHM-PR01 (Procedimiento Gestión Humana)?</t>
  </si>
  <si>
    <t>¿Mencione el formato(s) o plantilla utilizada para documentar el cumplimiento del procedimiento establecido. Indique versión, fecha e identificación en el SGD. Para sustentar, presente evidencia documental vigente de Colombian Mint, tales como: GTI-PR01 (Procedimiento Gestión de Tecnología e Informática.), GHM-PR01 (Procedimiento Gestión Humana)?</t>
  </si>
  <si>
    <t>¿Relacione las evidencias de implementación (Ej. Manual, procedimiento, instructivo, Paz y Salvo o lista de chequeo, documento de soporte de desvinculación, captura de pantalla de la eliminación en el sistema, etc.). Para sustentar, presente evidencia documental vigente de Colombian Mint, tales como: GHM-FR10 (Lista de Chequeo Selección y Contratación.), GTI-PR01 (Procedimiento Gestión de Tecnología e Informática.)?</t>
  </si>
  <si>
    <t>¿según criterios de auditoría OEA (ISO 19011) para el requisito OEA 5.5: Procedimiento documentado para desvinculación de empleados. ¿Qué evidencia objetiva presenta el auditado? Documentos de referencia: GTI-PR01 (Procedimiento Gestión de Tecnología e Informática.), GHM-PR01 (Procedimiento Gestión Humana)?</t>
  </si>
  <si>
    <t>¿según criterios de auditoría OEA (ISO 19011) para el requisito OEA 5.5: Checklists de retiro (devolución de dotación, credenciales, equipos, etc.). ¿Qué evidencia objetiva presenta el auditado? Documentos de referencia: GHM-FR40 (Acta de Devolución de Dotación), GHM-FR39 (Acta de Devolución de Dotación Disposición Final)?</t>
  </si>
  <si>
    <t>¿según criterios de auditoría OEA (ISO 19011) para el requisito OEA 5.5: Actas de entrega-recepción. ¿Qué evidencia objetiva presenta el auditado? Documentos de referencia: GMC-FR18 (Acta de Entrega y Recepción de Activos), GTI-PR01 (Procedimiento Gestión de Tecnología e Informática.)?</t>
  </si>
  <si>
    <t>¿según criterios de auditoría OEA (ISO 19011) para el requisito OEA 5.5: Encuestas de retiro o entrevistas de salida. ¿Qué evidencia objetiva presenta el auditado? Documentos de referencia: GTI-PR01 (Procedimiento Gestión de Tecnología e Informática.), GHM-FR10 (Lista de Chequeo Selección y Contratación.)?</t>
  </si>
  <si>
    <t>¿Verifique el documento GHM-GU06 (Guía para el Proceso de Desvinculación). ¿Está vigente, identificado en el SGD, aprobado por la autoridad competente y en aplicación para el requisito OEA 5.5?</t>
  </si>
  <si>
    <t>¿El requisito OEA 5.5 exige: "Debe tener procedimientos documentados para el retiro del personal." ¿Qué controles operativos y registros demuestran su cumplimiento sostenido en Colombian Mint?</t>
  </si>
  <si>
    <t>¿Presente el GHM-FR24 y sus registros asociados. ¿Con qué periodicidad se actualiza, quién es el responsable y cómo se evidencia su aplicación al requisito OEA 5.5?</t>
  </si>
  <si>
    <t>OEA 5.6</t>
  </si>
  <si>
    <t>Debe tener establecidas disposiciones de seguridad para el suministro y manejo de los uniformes y dotación, que incluya el control, entrega, devolución o cambio de los mismos.</t>
  </si>
  <si>
    <t>¿Mencione el documento(s), formato o plantilla que cuente con las disposiciones de seguridad adoptadas para el suministro y manejo de los uniformes y dotación, que incluya el control y entrega para garantizar la seguridad en la CSI. Indique versión, fecha e identificación en el SGD. 2, ¿Cuenta con una cláusula específica de seguridad para garantizar el correcto uso de la dotación suministrada. Para sustentar, presente evidencia documental vigente de Colombian Mint, tales como: GHM-FR18 (Formato de entrega de dotación), GHM-GU03 (Guía de entrega de dotación)?</t>
  </si>
  <si>
    <t>¿Indique si la empresa cuenta con dotación, logos o distintivos. Para sustentar, presente evidencia documental vigente de Colombian Mint, tales como: GHM-FR18 (Formato de entrega de dotación), SST-FR19 (Disposición Final de la Dotación y Elemento de Protección Personal)?</t>
  </si>
  <si>
    <t>¿si la empresa cuenta con logos o distintivos en la dotación, Indique documento(s), formato o plantilla con las disposiciones de seguridad adoptadas para la devolución o cambio de estos. Para sustentar, presente evidencia documental vigente de Colombian Mint, tales como: GHM-FR18 (Formato de entrega de dotación), SST-FR49 (Formato de Inspección de Elementos de Protección Personal (EPP).)?</t>
  </si>
  <si>
    <t>¿Relacione las evidencias de implementación (Ej. Procedimiento, instructivo, protocolo, soporte de entrega, control y disposición final de uniformes y dotación con lineamientos que garanticen la seguridad en la CSI, cláusulas de seguridad, acuerdos, SOP, registros fotográficos, etc.). Para sustentar, presente evidencia documental vigente de Colombian Mint, tales como: SST-FR19 (Disposición Final de la Dotación y Elemento de Protección Personal), GHM-FR39 (Acta de Devolución de Dotación Disposición Final)?</t>
  </si>
  <si>
    <t>¿según criterios de auditoría OEA (ISO 19011) para el requisito OEA 5.6: Procedimiento de entrega, devolución o cambio de uniformes y dotación. ¿Qué evidencia objetiva presenta el auditado? Documentos de referencia: GHM-FR18 (Formato de entrega de dotación), SST-PR03 (Procedimiento Elemento de Protección Personal (EPP).)?</t>
  </si>
  <si>
    <t>¿Verifique el documento GHM-FR40 (Acta de Devolución de Dotación). ¿Está vigente, identificado en el SGD, aprobado por la autoridad competente y en aplicación para el requisito OEA 5.6?</t>
  </si>
  <si>
    <t>¿en la auditoría ARCA (marzo 2025) se registró respecto a OEA 5.6: "En la verificación del procedimiento GHM-GU03 Entrega de dotación, se evidencia que relaciona los formatos de entrega de dotación y se coloca únicamente XXXXX". ¿Cuál es el estado actual de las acciones correctivas y su verificación efectiva? Evidencia de cierre sugerida: GHM-GU03 (Guía de entrega de dotación)?</t>
  </si>
  <si>
    <t>¿El requisito OEA 5.6 exige: "Debe tener establecidas disposiciones de seguridad para el suministro y manejo de los uniformes y dotación, que incluya el control, entrega, devolución o cambio de los mismos." ¿Qué controles operativos y registros demuestran su cumplimiento sostenido en Colombian Mint?</t>
  </si>
  <si>
    <t>¿Presente el SST-FR09 y sus registros asociados. ¿Con qué periodicidad se actualiza, quién es el responsable y cómo se evidencia su aplicación al requisito OEA 5.6?</t>
  </si>
  <si>
    <t>¿El personal entrevistado conoce los requisitos de OEA 5.6 y su responsabilidad en el cumplimiento? Solicite evidencia de socialización, inducción o capacitación?</t>
  </si>
  <si>
    <t>OEA 9.2</t>
  </si>
  <si>
    <t>Debe tener desarrollados programas de capacitación especializada en seguridad para el personal vinculado en áreas críticas sobre prevención de lavado de activos y financiación del terrorismo, sellos, llenado del contenedor, envío, recibo, manejo y almacenamiento de carga; manejo del correo, y demás temas sensibles, según correspondan por área y por proceso.</t>
  </si>
  <si>
    <t>¿Mencione el documento con los lineamientos establecidos para realizar capacitaciones especializadas en los temas que exige el requisito. Indique versión, fecha e identificación en el SGD. Para sustentar, presente evidencia documental vigente de Colombian Mint, tales como: GHM-FR03 (Plan de formación), SRF-GU09 (Política de seguridad de la cadena de suministro)?</t>
  </si>
  <si>
    <t>¿Indique la fecha de las últimas capacitaciones especializadas realizadas con posterioridad a la autorización o a la última revalidación. Para sustentar, presente evidencia documental vigente de Colombian Mint, tales como: GHM-FR03 (Plan de formación), SRF-GU09 (Política de seguridad de la cadena de suministro)?</t>
  </si>
  <si>
    <t>¿Cuenta con un cronograma para ejecutar las capacitaciones especializadas que contenga aspectos como: temario, actividades programadas, docentes, evaluaciones, recurso utilizado, publico objetivo, entre otros. ¿Qué registros o documentos (GCP-GU07 (Procedimiento Señales de Alerta para la Prevención y Detección de Acti), GHM-FR03 (Plan de formación)) demuestran el cumplimiento de lo solicitado?</t>
  </si>
  <si>
    <t>¿si los procesos como almacenamiento, llenado y/o vaciado de contenedores están tercerizados (dentro o fuera de las instalaciones propias), mencionar cómo garantiza que el personal se encuentre capacitado y qué evidencias de implementación exige. ¿Qué registros o documentos (GHM-FR03 (Plan de formación), SRF-GU09 (Política de seguridad de la cadena de suministro)) demuestran el cumplimiento de lo solicitado?</t>
  </si>
  <si>
    <t>¿Relacione las evidencias de implementación (Ej. Plan de ejecución, material informativo, folletos, registro de asistencia, comunicación por medios audiovisuales o electrónicos, evaluaciones, registros fotográficos, cláusulas, acuerdos de servicio, SOP, Plan de Acción, etc.). ¿Qué registros o documentos (GHM-FR03 (Plan de formación), GHM-FR12 (Asistencia y evaluación de la eficacia de la formación)) demuestran el cumplimiento de lo solicitado?</t>
  </si>
  <si>
    <t>¿según criterios de auditoría OEA (ISO 19011) para el requisito OEA 9.2: Programas de capacitación específicos por área (prevención lavado de activos, manejo de carga, etc.). ¿Qué evidencia objetiva presenta el auditado? Documentos de referencia: GCP-GU07 (Procedimiento Señales de Alerta para la Prevención y Detección de Acti), GHM-FR03 (Plan de formación)?</t>
  </si>
  <si>
    <t>¿según criterios de auditoría OEA (ISO 19011) para el requisito OEA 9.2: Registros de asistencia y participación en cursos y capacitaciones. ¿Qué evidencia objetiva presenta el auditado? Documentos de referencia: GHM-FR12 (Asistencia y evaluación de la eficacia de la formación), GHM-FR03 (Plan de formación)?</t>
  </si>
  <si>
    <t>¿según criterios de auditoría OEA (ISO 19011) para el requisito OEA 9.2: Evaluaciones de conocimientos al final de cada capacitación. ¿Qué evidencia objetiva presenta el auditado? Documentos de referencia: GHM-FR03 (Plan de formación), SRF-GU09 (Política de seguridad de la cadena de suministro)?</t>
  </si>
  <si>
    <t>¿Verifique el documento GHM-FR41 (Evaluación de Eficacia de la Formación). ¿Está vigente, identificado en el SGD, aprobado por la autoridad competente y en aplicación para el requisito OEA 9.2?</t>
  </si>
  <si>
    <t>¿Verifique el documento SST-PL02 (Plan de Trabajo en Salud y Seguridad en el Trabajo). ¿Está vigente, identificado en el SGD, aprobado por la autoridad competente y en aplicación para el requisito OEA 9.2?</t>
  </si>
  <si>
    <t>OEA 9.3</t>
  </si>
  <si>
    <t>Debe tener implementado un programa de concienciación y prevención del consumo de alcohol y drogas.</t>
  </si>
  <si>
    <t>¿Mencione el documento con los lineamientos establecidos para realizar un programa de concienciación y prevención del consumo de alcohol y drogas. Indique versión, fecha e identificación en el SGD. Para sustentar, presente evidencia documental vigente de Colombian Mint, tales como: SST-PG02 (Programa de Prevención del Consumo de Sustancias Psicoactivas), SST-PG07 (Programa de Cero Tolerancia a la Conducción bajo los Efectos del Alcoh)?</t>
  </si>
  <si>
    <t>¿Indique la fecha de la última implementación del programa realizada a los empleados con posterioridad a la autorización o a la última revalidación. Para sustentar, presente evidencia documental vigente de Colombian Mint, tales como: SST-PG02 (Programa de Prevención del Consumo de Sustancias Psicoactivas), SST-PG07 (Programa de Cero Tolerancia a la Conducción bajo los Efectos del Alcoh)?</t>
  </si>
  <si>
    <t>¿Relacione las evidencias de implementación (Ej. Plan e ejecución, material informativo, folletos, registro de asistencia, comunicación por medios audiovisuales o electrónicos, evaluaciones, registros fotográficos, etc.). ¿Qué registros o documentos (GHM-FR12 (Asistencia y evaluación de la eficacia de la formación), GHM-FR03 (Plan de formación)) demuestran el cumplimiento de lo solicitado?</t>
  </si>
  <si>
    <t>¿según criterios de auditoría OEA (ISO 19011) para el requisito OEA 9.3: Materiales de sensibilización (carteles, folletos, presentaciones). ¿Qué evidencia objetiva presenta el auditado? Documentos de referencia: GHM-FR03 (Plan de formación), SST-PG02 (Programa de Prevención del Consumo de Sustancias Psicoactivas)?</t>
  </si>
  <si>
    <t>¿según criterios de auditoría OEA (ISO 19011) para el requisito OEA 9.3: Evaluaciones sobre el impacto del programa. ¿Qué evidencia objetiva presenta el auditado? Documentos de referencia: SST-PG02 (Programa de Prevención del Consumo de Sustancias Psicoactivas), SST-PG07 (Programa de Cero Tolerancia a la Conducción bajo los Efectos del Alcoh)?</t>
  </si>
  <si>
    <t>¿según criterios de auditoría OEA (ISO 19011) para el requisito OEA 9.3: Informes de actividades realizadas (charlas, talleres, campañas). ¿Qué evidencia objetiva presenta el auditado? Documentos de referencia: GHM-FR03 (Plan de formación), SST-PG02 (Programa de Prevención del Consumo de Sustancias Psicoactivas)?</t>
  </si>
  <si>
    <t>¿Verifique el documento SST-PO02 (Política de Prevención de Consumo de Sustancias Psicoactivas). ¿Está vigente, identificado en el SGD, aprobado por la autoridad competente y en aplicación para el requisito OEA 9.3?</t>
  </si>
  <si>
    <t>¿en la auditoría ARCA (marzo 2025) se registró respecto a OEA 9.3: "No se evidencia el desarrollo de un programa para el año 2024, ya que no existen evidencias de cumplimiento, y lo que se encuentra planeado para el 2025 aún no se ha comenzado a ejecutar". ¿Cuál es el estado actual de las acciones correctivas y su verificación efectiva? Evidencia de cierre sugerida: SST-PG02 (Programa de Prevención del Consumo de Sustancias Psicoactivas)?</t>
  </si>
  <si>
    <t>¿El requisito OEA 9.3 exige: "Debe tener implementado un programa de concienciación y prevención del consumo de alcohol y drogas." ¿Qué controles operativos y registros demuestran su cumplimiento sostenido en Colombian Mint?</t>
  </si>
  <si>
    <t>¿El personal entrevistado conoce los requisitos de OEA 9.3 y su responsabilidad en el cumplimiento? Solicite evidencia de socialización, inducción o capacitación?</t>
  </si>
  <si>
    <t>OEA 9.4</t>
  </si>
  <si>
    <t>Debe tener implementado un programa de entrenamiento para manejo de situaciones de pánico que sea acorde con las necesidades de las áreas críticas.</t>
  </si>
  <si>
    <t>¿Mencione el programa establecido para el manejo de situaciones de pánico relacionados con la CSI. Para sustentar, presente evidencia documental vigente de Colombian Mint, tales como: SST-PL03 (Plan Operativo Normalizado Manejo de Situaciones de Pánico), SST-PL15 (Plan de Gestión de Emergencias)?</t>
  </si>
  <si>
    <t>¿Realiza simulacros y pruebas de vulnerabilidad? Indique la fecha de las últimas actividades del programa realizadas a los empleados con posterioridad a la autorización o a la última revalidación. Para sustentar, presente evidencia documental vigente de Colombian Mint, tales como: SST-PL15 (Plan de Gestión de Emergencias), SST-PL03 (Plan Operativo Normalizado Manejo de Situaciones de Pánico)?</t>
  </si>
  <si>
    <t>¿Relacione las evidencias de implementación (Ej. Plan de ejecución, informes de simulacro, material informativo, registro de asistencia, comunicación por medios audiovisuales o electrónicos, evaluaciones, registros fotográficos, etc.). ¿Qué registros o documentos (SST-PL15 (Plan de Gestión de Emergencias), SRF-FR24 (Guía Simulacro de Seguridad)) demuestran el cumplimiento de lo solicitado?</t>
  </si>
  <si>
    <t>¿según criterios de auditoría OEA (ISO 19011) para el requisito OEA 9.4: Plan de entrenamiento para situaciones de pánico. ¿Qué evidencia objetiva presenta el auditado? Documentos de referencia: SST-PL03 (Plan Operativo Normalizado Manejo de Situaciones de Pánico), SST-PL15 (Plan de Gestión de Emergencias)?</t>
  </si>
  <si>
    <t>¿según criterios de auditoría OEA (ISO 19011) para el requisito OEA 9.4: Informes de evaluación de los simulacros de emergencia. ¿Qué evidencia objetiva presenta el auditado? Documentos de referencia: SST-PL15 (Plan de Gestión de Emergencias), SST-PL04 (Plan para la Prevención Preparación y Respuesta de Emergencias)?</t>
  </si>
  <si>
    <t>¿Verifique el documento SRF-FR25 (Acta de Simulacro de Seguridad). ¿Está vigente, identificado en el SGD, aprobado por la autoridad competente y en aplicación para el requisito OEA 9.4?</t>
  </si>
  <si>
    <t>¿en la auditoría ARCA (marzo 2025) se registró respecto a OEA 9.4: "Dentro de los soportes de los simulacros de situaciones de pánico, no se evidencia el Acta de simulacro de contaminación, donde se establecen los resultados del ejercicio". ¿Cuál es el estado actual de las acciones correctivas y su verificación efectiva? Evidencia de cierre sugerida: SST-PL03 (Plan Operativo Normalizado Manejo de Situaciones de Pánico)?</t>
  </si>
  <si>
    <t>¿El requisito OEA 9.4 exige: "Debe tener implementado un programa de entrenamiento para manejo de situaciones de pánico que sea acorde con las necesidades de las áreas críticas." ¿Qué controles operativos y registros demuestran su cumplimiento sostenido en Colombian Mint?</t>
  </si>
  <si>
    <t>¿El personal entrevistado conoce los requisitos de OEA 9.4 y su responsabilidad en el cumplimiento? Solicite evidencia de socialización, inducción o capacitación?</t>
  </si>
  <si>
    <t>¿Existen indicadores o métricas definidos para verificar la eficacia de los controles del requisito OEA 9.4? Presente resultados del último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</si>
</sst>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C6349-0904-4DD1-B8DF-B40FC0FFDBE9}" name="Tabla1" displayName="Tabla1" ref="A1:E111" totalsRowShown="0" headerRowDxfId="1" dataDxfId="0" headerRowBorderDxfId="7" tableBorderDxfId="8">
  <autoFilter ref="A1:E111" xr:uid="{F50C6349-0904-4DD1-B8DF-B40FC0FFDBE9}"/>
  <tableColumns count="5">
    <tableColumn id="1" xr3:uid="{2DF6584E-B513-4514-9B52-0CFCC3AAB7EE}" name="Requisito" dataDxfId="6"/>
    <tableColumn id="2" xr3:uid="{3FEEACFE-5C8A-43DD-9A2E-811EB35D854A}" name="Proceso" dataDxfId="5"/>
    <tableColumn id="3" xr3:uid="{6EAF12CB-9146-4DC4-8FB5-B27372E6AE07}" name="Responsable" dataDxfId="4">
      <calculatedColumnFormula>+LISTADO!$H$7</calculatedColumnFormula>
    </tableColumn>
    <tableColumn id="4" xr3:uid="{7759520A-55DF-4756-88AD-5E2E60D19FA4}" name="Descripción del requisito" dataDxfId="3"/>
    <tableColumn id="5" xr3:uid="{70820215-CF0E-47CF-96B1-381E2F07F5DE}"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10" zoomScaleNormal="100" workbookViewId="0">
      <selection activeCell="B36" sqref="B36:L36"/>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1"/>
  <sheetViews>
    <sheetView tabSelected="1" topLeftCell="A19" workbookViewId="0">
      <selection activeCell="D6" sqref="D6"/>
    </sheetView>
  </sheetViews>
  <sheetFormatPr baseColWidth="10" defaultColWidth="9.140625" defaultRowHeight="15" x14ac:dyDescent="0.25"/>
  <cols>
    <col min="1" max="1" width="8.5703125" customWidth="1"/>
    <col min="2" max="2" width="13.85546875" customWidth="1"/>
    <col min="3" max="3" width="13.7109375" customWidth="1"/>
    <col min="4" max="4" width="63.28515625" customWidth="1"/>
    <col min="5" max="5" width="122.5703125" customWidth="1"/>
  </cols>
  <sheetData>
    <row r="1" spans="1:5" x14ac:dyDescent="0.25">
      <c r="A1" s="48" t="s">
        <v>40</v>
      </c>
      <c r="B1" s="48" t="s">
        <v>41</v>
      </c>
      <c r="C1" s="48" t="s">
        <v>42</v>
      </c>
      <c r="D1" s="48" t="s">
        <v>43</v>
      </c>
      <c r="E1" s="49" t="s">
        <v>44</v>
      </c>
    </row>
    <row r="2" spans="1:5" ht="60" x14ac:dyDescent="0.25">
      <c r="A2" s="50" t="s">
        <v>45</v>
      </c>
      <c r="B2" s="50" t="s">
        <v>9</v>
      </c>
      <c r="C2" s="50" t="str">
        <f>+LISTADO!$H$7</f>
        <v>Milady López / Isabel Escobar</v>
      </c>
      <c r="D2" s="50" t="s">
        <v>46</v>
      </c>
      <c r="E2" s="50" t="s">
        <v>47</v>
      </c>
    </row>
    <row r="3" spans="1:5" ht="60" x14ac:dyDescent="0.25">
      <c r="A3" s="50" t="s">
        <v>45</v>
      </c>
      <c r="B3" s="50" t="s">
        <v>9</v>
      </c>
      <c r="C3" s="50" t="str">
        <f>+LISTADO!$H$7</f>
        <v>Milady López / Isabel Escobar</v>
      </c>
      <c r="D3" s="50" t="s">
        <v>46</v>
      </c>
      <c r="E3" s="50" t="s">
        <v>48</v>
      </c>
    </row>
    <row r="4" spans="1:5" ht="45" x14ac:dyDescent="0.25">
      <c r="A4" s="50" t="s">
        <v>45</v>
      </c>
      <c r="B4" s="50" t="s">
        <v>9</v>
      </c>
      <c r="C4" s="50" t="str">
        <f>+LISTADO!$H$7</f>
        <v>Milady López / Isabel Escobar</v>
      </c>
      <c r="D4" s="50" t="s">
        <v>46</v>
      </c>
      <c r="E4" s="50" t="s">
        <v>49</v>
      </c>
    </row>
    <row r="5" spans="1:5" ht="45" x14ac:dyDescent="0.25">
      <c r="A5" s="50" t="s">
        <v>45</v>
      </c>
      <c r="B5" s="50" t="s">
        <v>9</v>
      </c>
      <c r="C5" s="50" t="str">
        <f>+LISTADO!$H$7</f>
        <v>Milady López / Isabel Escobar</v>
      </c>
      <c r="D5" s="50" t="s">
        <v>46</v>
      </c>
      <c r="E5" s="50" t="s">
        <v>50</v>
      </c>
    </row>
    <row r="6" spans="1:5" ht="45" x14ac:dyDescent="0.25">
      <c r="A6" s="50" t="s">
        <v>45</v>
      </c>
      <c r="B6" s="50" t="s">
        <v>9</v>
      </c>
      <c r="C6" s="50" t="str">
        <f>+LISTADO!$H$7</f>
        <v>Milady López / Isabel Escobar</v>
      </c>
      <c r="D6" s="50" t="s">
        <v>46</v>
      </c>
      <c r="E6" s="50" t="s">
        <v>51</v>
      </c>
    </row>
    <row r="7" spans="1:5" ht="45" x14ac:dyDescent="0.25">
      <c r="A7" s="50" t="s">
        <v>45</v>
      </c>
      <c r="B7" s="50" t="s">
        <v>9</v>
      </c>
      <c r="C7" s="50" t="str">
        <f>+LISTADO!$H$7</f>
        <v>Milady López / Isabel Escobar</v>
      </c>
      <c r="D7" s="50" t="s">
        <v>46</v>
      </c>
      <c r="E7" s="50" t="s">
        <v>52</v>
      </c>
    </row>
    <row r="8" spans="1:5" ht="45" x14ac:dyDescent="0.25">
      <c r="A8" s="50" t="s">
        <v>45</v>
      </c>
      <c r="B8" s="50" t="s">
        <v>9</v>
      </c>
      <c r="C8" s="50" t="str">
        <f>+LISTADO!$H$7</f>
        <v>Milady López / Isabel Escobar</v>
      </c>
      <c r="D8" s="50" t="s">
        <v>46</v>
      </c>
      <c r="E8" s="50" t="s">
        <v>53</v>
      </c>
    </row>
    <row r="9" spans="1:5" ht="60" x14ac:dyDescent="0.25">
      <c r="A9" s="50" t="s">
        <v>45</v>
      </c>
      <c r="B9" s="50" t="s">
        <v>9</v>
      </c>
      <c r="C9" s="50" t="str">
        <f>+LISTADO!$H$7</f>
        <v>Milady López / Isabel Escobar</v>
      </c>
      <c r="D9" s="50" t="s">
        <v>46</v>
      </c>
      <c r="E9" s="50" t="s">
        <v>54</v>
      </c>
    </row>
    <row r="10" spans="1:5" ht="45" x14ac:dyDescent="0.25">
      <c r="A10" s="50" t="s">
        <v>45</v>
      </c>
      <c r="B10" s="50" t="s">
        <v>9</v>
      </c>
      <c r="C10" s="50" t="str">
        <f>+LISTADO!$H$7</f>
        <v>Milady López / Isabel Escobar</v>
      </c>
      <c r="D10" s="50" t="s">
        <v>46</v>
      </c>
      <c r="E10" s="50" t="s">
        <v>55</v>
      </c>
    </row>
    <row r="11" spans="1:5" ht="45" x14ac:dyDescent="0.25">
      <c r="A11" s="50" t="s">
        <v>45</v>
      </c>
      <c r="B11" s="50" t="s">
        <v>9</v>
      </c>
      <c r="C11" s="50" t="str">
        <f>+LISTADO!$H$7</f>
        <v>Milady López / Isabel Escobar</v>
      </c>
      <c r="D11" s="50" t="s">
        <v>46</v>
      </c>
      <c r="E11" s="50" t="s">
        <v>56</v>
      </c>
    </row>
    <row r="12" spans="1:5" ht="60" x14ac:dyDescent="0.25">
      <c r="A12" s="50" t="s">
        <v>57</v>
      </c>
      <c r="B12" s="50" t="s">
        <v>9</v>
      </c>
      <c r="C12" s="50" t="str">
        <f>+LISTADO!$H$7</f>
        <v>Milady López / Isabel Escobar</v>
      </c>
      <c r="D12" s="50" t="s">
        <v>58</v>
      </c>
      <c r="E12" s="50" t="s">
        <v>59</v>
      </c>
    </row>
    <row r="13" spans="1:5" ht="60" x14ac:dyDescent="0.25">
      <c r="A13" s="50" t="s">
        <v>57</v>
      </c>
      <c r="B13" s="50" t="s">
        <v>9</v>
      </c>
      <c r="C13" s="50" t="str">
        <f>+LISTADO!$H$7</f>
        <v>Milady López / Isabel Escobar</v>
      </c>
      <c r="D13" s="50" t="s">
        <v>58</v>
      </c>
      <c r="E13" s="50" t="s">
        <v>60</v>
      </c>
    </row>
    <row r="14" spans="1:5" ht="45" x14ac:dyDescent="0.25">
      <c r="A14" s="50" t="s">
        <v>57</v>
      </c>
      <c r="B14" s="50" t="s">
        <v>9</v>
      </c>
      <c r="C14" s="50" t="str">
        <f>+LISTADO!$H$7</f>
        <v>Milady López / Isabel Escobar</v>
      </c>
      <c r="D14" s="50" t="s">
        <v>58</v>
      </c>
      <c r="E14" s="50" t="s">
        <v>61</v>
      </c>
    </row>
    <row r="15" spans="1:5" ht="45" x14ac:dyDescent="0.25">
      <c r="A15" s="50" t="s">
        <v>57</v>
      </c>
      <c r="B15" s="50" t="s">
        <v>9</v>
      </c>
      <c r="C15" s="50" t="str">
        <f>+LISTADO!$H$7</f>
        <v>Milady López / Isabel Escobar</v>
      </c>
      <c r="D15" s="50" t="s">
        <v>58</v>
      </c>
      <c r="E15" s="50" t="s">
        <v>62</v>
      </c>
    </row>
    <row r="16" spans="1:5" ht="45" x14ac:dyDescent="0.25">
      <c r="A16" s="50" t="s">
        <v>57</v>
      </c>
      <c r="B16" s="50" t="s">
        <v>9</v>
      </c>
      <c r="C16" s="50" t="str">
        <f>+LISTADO!$H$7</f>
        <v>Milady López / Isabel Escobar</v>
      </c>
      <c r="D16" s="50" t="s">
        <v>58</v>
      </c>
      <c r="E16" s="50" t="s">
        <v>63</v>
      </c>
    </row>
    <row r="17" spans="1:5" ht="45" x14ac:dyDescent="0.25">
      <c r="A17" s="50" t="s">
        <v>57</v>
      </c>
      <c r="B17" s="50" t="s">
        <v>9</v>
      </c>
      <c r="C17" s="50" t="str">
        <f>+LISTADO!$H$7</f>
        <v>Milady López / Isabel Escobar</v>
      </c>
      <c r="D17" s="50" t="s">
        <v>58</v>
      </c>
      <c r="E17" s="50" t="s">
        <v>64</v>
      </c>
    </row>
    <row r="18" spans="1:5" ht="45" x14ac:dyDescent="0.25">
      <c r="A18" s="50" t="s">
        <v>57</v>
      </c>
      <c r="B18" s="50" t="s">
        <v>9</v>
      </c>
      <c r="C18" s="50" t="str">
        <f>+LISTADO!$H$7</f>
        <v>Milady López / Isabel Escobar</v>
      </c>
      <c r="D18" s="50" t="s">
        <v>58</v>
      </c>
      <c r="E18" s="50" t="s">
        <v>65</v>
      </c>
    </row>
    <row r="19" spans="1:5" ht="45" x14ac:dyDescent="0.25">
      <c r="A19" s="50" t="s">
        <v>57</v>
      </c>
      <c r="B19" s="50" t="s">
        <v>9</v>
      </c>
      <c r="C19" s="50" t="str">
        <f>+LISTADO!$H$7</f>
        <v>Milady López / Isabel Escobar</v>
      </c>
      <c r="D19" s="50" t="s">
        <v>58</v>
      </c>
      <c r="E19" s="50" t="s">
        <v>66</v>
      </c>
    </row>
    <row r="20" spans="1:5" ht="45" x14ac:dyDescent="0.25">
      <c r="A20" s="50" t="s">
        <v>57</v>
      </c>
      <c r="B20" s="50" t="s">
        <v>9</v>
      </c>
      <c r="C20" s="50" t="str">
        <f>+LISTADO!$H$7</f>
        <v>Milady López / Isabel Escobar</v>
      </c>
      <c r="D20" s="50" t="s">
        <v>58</v>
      </c>
      <c r="E20" s="50" t="s">
        <v>67</v>
      </c>
    </row>
    <row r="21" spans="1:5" ht="45" x14ac:dyDescent="0.25">
      <c r="A21" s="50" t="s">
        <v>57</v>
      </c>
      <c r="B21" s="50" t="s">
        <v>9</v>
      </c>
      <c r="C21" s="50" t="str">
        <f>+LISTADO!$H$7</f>
        <v>Milady López / Isabel Escobar</v>
      </c>
      <c r="D21" s="50" t="s">
        <v>58</v>
      </c>
      <c r="E21" s="50" t="s">
        <v>68</v>
      </c>
    </row>
    <row r="22" spans="1:5" ht="60" x14ac:dyDescent="0.25">
      <c r="A22" s="50" t="s">
        <v>69</v>
      </c>
      <c r="B22" s="50" t="s">
        <v>9</v>
      </c>
      <c r="C22" s="50" t="str">
        <f>+LISTADO!$H$7</f>
        <v>Milady López / Isabel Escobar</v>
      </c>
      <c r="D22" s="50" t="s">
        <v>70</v>
      </c>
      <c r="E22" s="50" t="s">
        <v>71</v>
      </c>
    </row>
    <row r="23" spans="1:5" ht="45" x14ac:dyDescent="0.25">
      <c r="A23" s="50" t="s">
        <v>69</v>
      </c>
      <c r="B23" s="50" t="s">
        <v>9</v>
      </c>
      <c r="C23" s="50" t="str">
        <f>+LISTADO!$H$7</f>
        <v>Milady López / Isabel Escobar</v>
      </c>
      <c r="D23" s="50" t="s">
        <v>70</v>
      </c>
      <c r="E23" s="50" t="s">
        <v>72</v>
      </c>
    </row>
    <row r="24" spans="1:5" ht="45" x14ac:dyDescent="0.25">
      <c r="A24" s="50" t="s">
        <v>69</v>
      </c>
      <c r="B24" s="50" t="s">
        <v>9</v>
      </c>
      <c r="C24" s="50" t="str">
        <f>+LISTADO!$H$7</f>
        <v>Milady López / Isabel Escobar</v>
      </c>
      <c r="D24" s="50" t="s">
        <v>70</v>
      </c>
      <c r="E24" s="50" t="s">
        <v>73</v>
      </c>
    </row>
    <row r="25" spans="1:5" ht="45" x14ac:dyDescent="0.25">
      <c r="A25" s="50" t="s">
        <v>69</v>
      </c>
      <c r="B25" s="50" t="s">
        <v>9</v>
      </c>
      <c r="C25" s="50" t="str">
        <f>+LISTADO!$H$7</f>
        <v>Milady López / Isabel Escobar</v>
      </c>
      <c r="D25" s="50" t="s">
        <v>70</v>
      </c>
      <c r="E25" s="50" t="s">
        <v>74</v>
      </c>
    </row>
    <row r="26" spans="1:5" ht="45" x14ac:dyDescent="0.25">
      <c r="A26" s="50" t="s">
        <v>69</v>
      </c>
      <c r="B26" s="50" t="s">
        <v>9</v>
      </c>
      <c r="C26" s="50" t="str">
        <f>+LISTADO!$H$7</f>
        <v>Milady López / Isabel Escobar</v>
      </c>
      <c r="D26" s="50" t="s">
        <v>70</v>
      </c>
      <c r="E26" s="50" t="s">
        <v>75</v>
      </c>
    </row>
    <row r="27" spans="1:5" ht="60" x14ac:dyDescent="0.25">
      <c r="A27" s="50" t="s">
        <v>69</v>
      </c>
      <c r="B27" s="50" t="s">
        <v>9</v>
      </c>
      <c r="C27" s="50" t="str">
        <f>+LISTADO!$H$7</f>
        <v>Milady López / Isabel Escobar</v>
      </c>
      <c r="D27" s="50" t="s">
        <v>70</v>
      </c>
      <c r="E27" s="50" t="s">
        <v>76</v>
      </c>
    </row>
    <row r="28" spans="1:5" ht="45" x14ac:dyDescent="0.25">
      <c r="A28" s="50" t="s">
        <v>69</v>
      </c>
      <c r="B28" s="50" t="s">
        <v>9</v>
      </c>
      <c r="C28" s="50" t="str">
        <f>+LISTADO!$H$7</f>
        <v>Milady López / Isabel Escobar</v>
      </c>
      <c r="D28" s="50" t="s">
        <v>70</v>
      </c>
      <c r="E28" s="50" t="s">
        <v>77</v>
      </c>
    </row>
    <row r="29" spans="1:5" ht="45" x14ac:dyDescent="0.25">
      <c r="A29" s="50" t="s">
        <v>69</v>
      </c>
      <c r="B29" s="50" t="s">
        <v>9</v>
      </c>
      <c r="C29" s="50" t="str">
        <f>+LISTADO!$H$7</f>
        <v>Milady López / Isabel Escobar</v>
      </c>
      <c r="D29" s="50" t="s">
        <v>70</v>
      </c>
      <c r="E29" s="50" t="s">
        <v>78</v>
      </c>
    </row>
    <row r="30" spans="1:5" ht="45" x14ac:dyDescent="0.25">
      <c r="A30" s="50" t="s">
        <v>69</v>
      </c>
      <c r="B30" s="50" t="s">
        <v>9</v>
      </c>
      <c r="C30" s="50" t="str">
        <f>+LISTADO!$H$7</f>
        <v>Milady López / Isabel Escobar</v>
      </c>
      <c r="D30" s="50" t="s">
        <v>70</v>
      </c>
      <c r="E30" s="50" t="s">
        <v>79</v>
      </c>
    </row>
    <row r="31" spans="1:5" ht="45" x14ac:dyDescent="0.25">
      <c r="A31" s="50" t="s">
        <v>69</v>
      </c>
      <c r="B31" s="50" t="s">
        <v>9</v>
      </c>
      <c r="C31" s="50" t="str">
        <f>+LISTADO!$H$7</f>
        <v>Milady López / Isabel Escobar</v>
      </c>
      <c r="D31" s="50" t="s">
        <v>70</v>
      </c>
      <c r="E31" s="50" t="s">
        <v>80</v>
      </c>
    </row>
    <row r="32" spans="1:5" ht="60" x14ac:dyDescent="0.25">
      <c r="A32" s="50" t="s">
        <v>81</v>
      </c>
      <c r="B32" s="50" t="s">
        <v>9</v>
      </c>
      <c r="C32" s="50" t="str">
        <f>+LISTADO!$H$7</f>
        <v>Milady López / Isabel Escobar</v>
      </c>
      <c r="D32" s="50" t="s">
        <v>82</v>
      </c>
      <c r="E32" s="50" t="s">
        <v>83</v>
      </c>
    </row>
    <row r="33" spans="1:5" ht="45" x14ac:dyDescent="0.25">
      <c r="A33" s="50" t="s">
        <v>81</v>
      </c>
      <c r="B33" s="50" t="s">
        <v>9</v>
      </c>
      <c r="C33" s="50" t="str">
        <f>+LISTADO!$H$7</f>
        <v>Milady López / Isabel Escobar</v>
      </c>
      <c r="D33" s="50" t="s">
        <v>82</v>
      </c>
      <c r="E33" s="50" t="s">
        <v>84</v>
      </c>
    </row>
    <row r="34" spans="1:5" ht="45" x14ac:dyDescent="0.25">
      <c r="A34" s="50" t="s">
        <v>81</v>
      </c>
      <c r="B34" s="50" t="s">
        <v>9</v>
      </c>
      <c r="C34" s="50" t="str">
        <f>+LISTADO!$H$7</f>
        <v>Milady López / Isabel Escobar</v>
      </c>
      <c r="D34" s="50" t="s">
        <v>82</v>
      </c>
      <c r="E34" s="50" t="s">
        <v>85</v>
      </c>
    </row>
    <row r="35" spans="1:5" ht="45" x14ac:dyDescent="0.25">
      <c r="A35" s="50" t="s">
        <v>81</v>
      </c>
      <c r="B35" s="50" t="s">
        <v>9</v>
      </c>
      <c r="C35" s="50" t="str">
        <f>+LISTADO!$H$7</f>
        <v>Milady López / Isabel Escobar</v>
      </c>
      <c r="D35" s="50" t="s">
        <v>82</v>
      </c>
      <c r="E35" s="50" t="s">
        <v>86</v>
      </c>
    </row>
    <row r="36" spans="1:5" ht="45" x14ac:dyDescent="0.25">
      <c r="A36" s="50" t="s">
        <v>81</v>
      </c>
      <c r="B36" s="50" t="s">
        <v>9</v>
      </c>
      <c r="C36" s="50" t="str">
        <f>+LISTADO!$H$7</f>
        <v>Milady López / Isabel Escobar</v>
      </c>
      <c r="D36" s="50" t="s">
        <v>82</v>
      </c>
      <c r="E36" s="50" t="s">
        <v>87</v>
      </c>
    </row>
    <row r="37" spans="1:5" ht="60" x14ac:dyDescent="0.25">
      <c r="A37" s="50" t="s">
        <v>81</v>
      </c>
      <c r="B37" s="50" t="s">
        <v>9</v>
      </c>
      <c r="C37" s="50" t="str">
        <f>+LISTADO!$H$7</f>
        <v>Milady López / Isabel Escobar</v>
      </c>
      <c r="D37" s="50" t="s">
        <v>82</v>
      </c>
      <c r="E37" s="50" t="s">
        <v>88</v>
      </c>
    </row>
    <row r="38" spans="1:5" ht="45" x14ac:dyDescent="0.25">
      <c r="A38" s="50" t="s">
        <v>81</v>
      </c>
      <c r="B38" s="50" t="s">
        <v>9</v>
      </c>
      <c r="C38" s="50" t="str">
        <f>+LISTADO!$H$7</f>
        <v>Milady López / Isabel Escobar</v>
      </c>
      <c r="D38" s="50" t="s">
        <v>82</v>
      </c>
      <c r="E38" s="50" t="s">
        <v>89</v>
      </c>
    </row>
    <row r="39" spans="1:5" ht="60" x14ac:dyDescent="0.25">
      <c r="A39" s="50" t="s">
        <v>81</v>
      </c>
      <c r="B39" s="50" t="s">
        <v>9</v>
      </c>
      <c r="C39" s="50" t="str">
        <f>+LISTADO!$H$7</f>
        <v>Milady López / Isabel Escobar</v>
      </c>
      <c r="D39" s="50" t="s">
        <v>82</v>
      </c>
      <c r="E39" s="50" t="s">
        <v>90</v>
      </c>
    </row>
    <row r="40" spans="1:5" ht="45" x14ac:dyDescent="0.25">
      <c r="A40" s="50" t="s">
        <v>81</v>
      </c>
      <c r="B40" s="50" t="s">
        <v>9</v>
      </c>
      <c r="C40" s="50" t="str">
        <f>+LISTADO!$H$7</f>
        <v>Milady López / Isabel Escobar</v>
      </c>
      <c r="D40" s="50" t="s">
        <v>82</v>
      </c>
      <c r="E40" s="50" t="s">
        <v>91</v>
      </c>
    </row>
    <row r="41" spans="1:5" ht="45" x14ac:dyDescent="0.25">
      <c r="A41" s="50" t="s">
        <v>81</v>
      </c>
      <c r="B41" s="50" t="s">
        <v>9</v>
      </c>
      <c r="C41" s="50" t="str">
        <f>+LISTADO!$H$7</f>
        <v>Milady López / Isabel Escobar</v>
      </c>
      <c r="D41" s="50" t="s">
        <v>82</v>
      </c>
      <c r="E41" s="50" t="s">
        <v>92</v>
      </c>
    </row>
    <row r="42" spans="1:5" ht="60" x14ac:dyDescent="0.25">
      <c r="A42" s="50" t="s">
        <v>93</v>
      </c>
      <c r="B42" s="50" t="s">
        <v>9</v>
      </c>
      <c r="C42" s="50" t="str">
        <f>+LISTADO!$H$7</f>
        <v>Milady López / Isabel Escobar</v>
      </c>
      <c r="D42" s="50" t="s">
        <v>94</v>
      </c>
      <c r="E42" s="50" t="s">
        <v>95</v>
      </c>
    </row>
    <row r="43" spans="1:5" ht="60" x14ac:dyDescent="0.25">
      <c r="A43" s="50" t="s">
        <v>93</v>
      </c>
      <c r="B43" s="50" t="s">
        <v>9</v>
      </c>
      <c r="C43" s="50" t="str">
        <f>+LISTADO!$H$7</f>
        <v>Milady López / Isabel Escobar</v>
      </c>
      <c r="D43" s="50" t="s">
        <v>94</v>
      </c>
      <c r="E43" s="50" t="s">
        <v>96</v>
      </c>
    </row>
    <row r="44" spans="1:5" ht="60" x14ac:dyDescent="0.25">
      <c r="A44" s="50" t="s">
        <v>93</v>
      </c>
      <c r="B44" s="50" t="s">
        <v>9</v>
      </c>
      <c r="C44" s="50" t="str">
        <f>+LISTADO!$H$7</f>
        <v>Milady López / Isabel Escobar</v>
      </c>
      <c r="D44" s="50" t="s">
        <v>94</v>
      </c>
      <c r="E44" s="50" t="s">
        <v>97</v>
      </c>
    </row>
    <row r="45" spans="1:5" ht="60" x14ac:dyDescent="0.25">
      <c r="A45" s="50" t="s">
        <v>93</v>
      </c>
      <c r="B45" s="50" t="s">
        <v>9</v>
      </c>
      <c r="C45" s="50" t="str">
        <f>+LISTADO!$H$7</f>
        <v>Milady López / Isabel Escobar</v>
      </c>
      <c r="D45" s="50" t="s">
        <v>94</v>
      </c>
      <c r="E45" s="50" t="s">
        <v>98</v>
      </c>
    </row>
    <row r="46" spans="1:5" ht="45" x14ac:dyDescent="0.25">
      <c r="A46" s="50" t="s">
        <v>93</v>
      </c>
      <c r="B46" s="50" t="s">
        <v>9</v>
      </c>
      <c r="C46" s="50" t="str">
        <f>+LISTADO!$H$7</f>
        <v>Milady López / Isabel Escobar</v>
      </c>
      <c r="D46" s="50" t="s">
        <v>94</v>
      </c>
      <c r="E46" s="50" t="s">
        <v>99</v>
      </c>
    </row>
    <row r="47" spans="1:5" ht="45" x14ac:dyDescent="0.25">
      <c r="A47" s="50" t="s">
        <v>93</v>
      </c>
      <c r="B47" s="50" t="s">
        <v>9</v>
      </c>
      <c r="C47" s="50" t="str">
        <f>+LISTADO!$H$7</f>
        <v>Milady López / Isabel Escobar</v>
      </c>
      <c r="D47" s="50" t="s">
        <v>94</v>
      </c>
      <c r="E47" s="50" t="s">
        <v>100</v>
      </c>
    </row>
    <row r="48" spans="1:5" ht="45" x14ac:dyDescent="0.25">
      <c r="A48" s="50" t="s">
        <v>93</v>
      </c>
      <c r="B48" s="50" t="s">
        <v>9</v>
      </c>
      <c r="C48" s="50" t="str">
        <f>+LISTADO!$H$7</f>
        <v>Milady López / Isabel Escobar</v>
      </c>
      <c r="D48" s="50" t="s">
        <v>94</v>
      </c>
      <c r="E48" s="50" t="s">
        <v>101</v>
      </c>
    </row>
    <row r="49" spans="1:5" ht="45" x14ac:dyDescent="0.25">
      <c r="A49" s="50" t="s">
        <v>93</v>
      </c>
      <c r="B49" s="50" t="s">
        <v>9</v>
      </c>
      <c r="C49" s="50" t="str">
        <f>+LISTADO!$H$7</f>
        <v>Milady López / Isabel Escobar</v>
      </c>
      <c r="D49" s="50" t="s">
        <v>94</v>
      </c>
      <c r="E49" s="50" t="s">
        <v>102</v>
      </c>
    </row>
    <row r="50" spans="1:5" ht="45" x14ac:dyDescent="0.25">
      <c r="A50" s="50" t="s">
        <v>93</v>
      </c>
      <c r="B50" s="50" t="s">
        <v>9</v>
      </c>
      <c r="C50" s="50" t="str">
        <f>+LISTADO!$H$7</f>
        <v>Milady López / Isabel Escobar</v>
      </c>
      <c r="D50" s="50" t="s">
        <v>94</v>
      </c>
      <c r="E50" s="50" t="s">
        <v>103</v>
      </c>
    </row>
    <row r="51" spans="1:5" ht="45" x14ac:dyDescent="0.25">
      <c r="A51" s="50" t="s">
        <v>93</v>
      </c>
      <c r="B51" s="50" t="s">
        <v>9</v>
      </c>
      <c r="C51" s="50" t="str">
        <f>+LISTADO!$H$7</f>
        <v>Milady López / Isabel Escobar</v>
      </c>
      <c r="D51" s="50" t="s">
        <v>94</v>
      </c>
      <c r="E51" s="50" t="s">
        <v>104</v>
      </c>
    </row>
    <row r="52" spans="1:5" ht="75" x14ac:dyDescent="0.25">
      <c r="A52" s="50" t="s">
        <v>105</v>
      </c>
      <c r="B52" s="50" t="s">
        <v>9</v>
      </c>
      <c r="C52" s="50" t="str">
        <f>+LISTADO!$H$7</f>
        <v>Milady López / Isabel Escobar</v>
      </c>
      <c r="D52" s="50" t="s">
        <v>106</v>
      </c>
      <c r="E52" s="50" t="s">
        <v>107</v>
      </c>
    </row>
    <row r="53" spans="1:5" ht="60" x14ac:dyDescent="0.25">
      <c r="A53" s="50" t="s">
        <v>105</v>
      </c>
      <c r="B53" s="50" t="s">
        <v>9</v>
      </c>
      <c r="C53" s="50" t="str">
        <f>+LISTADO!$H$7</f>
        <v>Milady López / Isabel Escobar</v>
      </c>
      <c r="D53" s="50" t="s">
        <v>106</v>
      </c>
      <c r="E53" s="50" t="s">
        <v>108</v>
      </c>
    </row>
    <row r="54" spans="1:5" ht="60" x14ac:dyDescent="0.25">
      <c r="A54" s="50" t="s">
        <v>105</v>
      </c>
      <c r="B54" s="50" t="s">
        <v>9</v>
      </c>
      <c r="C54" s="50" t="str">
        <f>+LISTADO!$H$7</f>
        <v>Milady López / Isabel Escobar</v>
      </c>
      <c r="D54" s="50" t="s">
        <v>106</v>
      </c>
      <c r="E54" s="50" t="s">
        <v>109</v>
      </c>
    </row>
    <row r="55" spans="1:5" ht="60" x14ac:dyDescent="0.25">
      <c r="A55" s="50" t="s">
        <v>105</v>
      </c>
      <c r="B55" s="50" t="s">
        <v>9</v>
      </c>
      <c r="C55" s="50" t="str">
        <f>+LISTADO!$H$7</f>
        <v>Milady López / Isabel Escobar</v>
      </c>
      <c r="D55" s="50" t="s">
        <v>106</v>
      </c>
      <c r="E55" s="50" t="s">
        <v>110</v>
      </c>
    </row>
    <row r="56" spans="1:5" ht="60" x14ac:dyDescent="0.25">
      <c r="A56" s="50" t="s">
        <v>105</v>
      </c>
      <c r="B56" s="50" t="s">
        <v>9</v>
      </c>
      <c r="C56" s="50" t="str">
        <f>+LISTADO!$H$7</f>
        <v>Milady López / Isabel Escobar</v>
      </c>
      <c r="D56" s="50" t="s">
        <v>106</v>
      </c>
      <c r="E56" s="50" t="s">
        <v>111</v>
      </c>
    </row>
    <row r="57" spans="1:5" ht="60" x14ac:dyDescent="0.25">
      <c r="A57" s="50" t="s">
        <v>105</v>
      </c>
      <c r="B57" s="50" t="s">
        <v>9</v>
      </c>
      <c r="C57" s="50" t="str">
        <f>+LISTADO!$H$7</f>
        <v>Milady López / Isabel Escobar</v>
      </c>
      <c r="D57" s="50" t="s">
        <v>106</v>
      </c>
      <c r="E57" s="50" t="s">
        <v>112</v>
      </c>
    </row>
    <row r="58" spans="1:5" ht="60" x14ac:dyDescent="0.25">
      <c r="A58" s="50" t="s">
        <v>105</v>
      </c>
      <c r="B58" s="50" t="s">
        <v>9</v>
      </c>
      <c r="C58" s="50" t="str">
        <f>+LISTADO!$H$7</f>
        <v>Milady López / Isabel Escobar</v>
      </c>
      <c r="D58" s="50" t="s">
        <v>106</v>
      </c>
      <c r="E58" s="50" t="s">
        <v>113</v>
      </c>
    </row>
    <row r="59" spans="1:5" ht="60" x14ac:dyDescent="0.25">
      <c r="A59" s="50" t="s">
        <v>105</v>
      </c>
      <c r="B59" s="50" t="s">
        <v>9</v>
      </c>
      <c r="C59" s="50" t="str">
        <f>+LISTADO!$H$7</f>
        <v>Milady López / Isabel Escobar</v>
      </c>
      <c r="D59" s="50" t="s">
        <v>106</v>
      </c>
      <c r="E59" s="50" t="s">
        <v>114</v>
      </c>
    </row>
    <row r="60" spans="1:5" ht="60" x14ac:dyDescent="0.25">
      <c r="A60" s="50" t="s">
        <v>105</v>
      </c>
      <c r="B60" s="50" t="s">
        <v>9</v>
      </c>
      <c r="C60" s="50" t="str">
        <f>+LISTADO!$H$7</f>
        <v>Milady López / Isabel Escobar</v>
      </c>
      <c r="D60" s="50" t="s">
        <v>106</v>
      </c>
      <c r="E60" s="50" t="s">
        <v>115</v>
      </c>
    </row>
    <row r="61" spans="1:5" ht="60" x14ac:dyDescent="0.25">
      <c r="A61" s="50" t="s">
        <v>105</v>
      </c>
      <c r="B61" s="50" t="s">
        <v>9</v>
      </c>
      <c r="C61" s="50" t="str">
        <f>+LISTADO!$H$7</f>
        <v>Milady López / Isabel Escobar</v>
      </c>
      <c r="D61" s="50" t="s">
        <v>106</v>
      </c>
      <c r="E61" s="50" t="s">
        <v>116</v>
      </c>
    </row>
    <row r="62" spans="1:5" ht="60" x14ac:dyDescent="0.25">
      <c r="A62" s="50" t="s">
        <v>117</v>
      </c>
      <c r="B62" s="50" t="s">
        <v>9</v>
      </c>
      <c r="C62" s="50" t="str">
        <f>+LISTADO!$H$7</f>
        <v>Milady López / Isabel Escobar</v>
      </c>
      <c r="D62" s="50" t="s">
        <v>118</v>
      </c>
      <c r="E62" s="50" t="s">
        <v>119</v>
      </c>
    </row>
    <row r="63" spans="1:5" ht="45" x14ac:dyDescent="0.25">
      <c r="A63" s="50" t="s">
        <v>117</v>
      </c>
      <c r="B63" s="50" t="s">
        <v>9</v>
      </c>
      <c r="C63" s="50" t="str">
        <f>+LISTADO!$H$7</f>
        <v>Milady López / Isabel Escobar</v>
      </c>
      <c r="D63" s="50" t="s">
        <v>118</v>
      </c>
      <c r="E63" s="50" t="s">
        <v>120</v>
      </c>
    </row>
    <row r="64" spans="1:5" ht="60" x14ac:dyDescent="0.25">
      <c r="A64" s="50" t="s">
        <v>117</v>
      </c>
      <c r="B64" s="50" t="s">
        <v>9</v>
      </c>
      <c r="C64" s="50" t="str">
        <f>+LISTADO!$H$7</f>
        <v>Milady López / Isabel Escobar</v>
      </c>
      <c r="D64" s="50" t="s">
        <v>118</v>
      </c>
      <c r="E64" s="50" t="s">
        <v>121</v>
      </c>
    </row>
    <row r="65" spans="1:5" ht="45" x14ac:dyDescent="0.25">
      <c r="A65" s="50" t="s">
        <v>117</v>
      </c>
      <c r="B65" s="50" t="s">
        <v>9</v>
      </c>
      <c r="C65" s="50" t="str">
        <f>+LISTADO!$H$7</f>
        <v>Milady López / Isabel Escobar</v>
      </c>
      <c r="D65" s="50" t="s">
        <v>118</v>
      </c>
      <c r="E65" s="50" t="s">
        <v>122</v>
      </c>
    </row>
    <row r="66" spans="1:5" ht="45" x14ac:dyDescent="0.25">
      <c r="A66" s="50" t="s">
        <v>117</v>
      </c>
      <c r="B66" s="50" t="s">
        <v>9</v>
      </c>
      <c r="C66" s="50" t="str">
        <f>+LISTADO!$H$7</f>
        <v>Milady López / Isabel Escobar</v>
      </c>
      <c r="D66" s="50" t="s">
        <v>118</v>
      </c>
      <c r="E66" s="50" t="s">
        <v>123</v>
      </c>
    </row>
    <row r="67" spans="1:5" ht="45" x14ac:dyDescent="0.25">
      <c r="A67" s="50" t="s">
        <v>117</v>
      </c>
      <c r="B67" s="50" t="s">
        <v>9</v>
      </c>
      <c r="C67" s="50" t="str">
        <f>+LISTADO!$H$7</f>
        <v>Milady López / Isabel Escobar</v>
      </c>
      <c r="D67" s="50" t="s">
        <v>118</v>
      </c>
      <c r="E67" s="50" t="s">
        <v>124</v>
      </c>
    </row>
    <row r="68" spans="1:5" ht="45" x14ac:dyDescent="0.25">
      <c r="A68" s="50" t="s">
        <v>117</v>
      </c>
      <c r="B68" s="50" t="s">
        <v>9</v>
      </c>
      <c r="C68" s="50" t="str">
        <f>+LISTADO!$H$7</f>
        <v>Milady López / Isabel Escobar</v>
      </c>
      <c r="D68" s="50" t="s">
        <v>118</v>
      </c>
      <c r="E68" s="50" t="s">
        <v>125</v>
      </c>
    </row>
    <row r="69" spans="1:5" ht="45" x14ac:dyDescent="0.25">
      <c r="A69" s="50" t="s">
        <v>117</v>
      </c>
      <c r="B69" s="50" t="s">
        <v>9</v>
      </c>
      <c r="C69" s="50" t="str">
        <f>+LISTADO!$H$7</f>
        <v>Milady López / Isabel Escobar</v>
      </c>
      <c r="D69" s="50" t="s">
        <v>118</v>
      </c>
      <c r="E69" s="50" t="s">
        <v>126</v>
      </c>
    </row>
    <row r="70" spans="1:5" ht="45" x14ac:dyDescent="0.25">
      <c r="A70" s="50" t="s">
        <v>117</v>
      </c>
      <c r="B70" s="50" t="s">
        <v>9</v>
      </c>
      <c r="C70" s="50" t="str">
        <f>+LISTADO!$H$7</f>
        <v>Milady López / Isabel Escobar</v>
      </c>
      <c r="D70" s="50" t="s">
        <v>118</v>
      </c>
      <c r="E70" s="50" t="s">
        <v>127</v>
      </c>
    </row>
    <row r="71" spans="1:5" ht="45" x14ac:dyDescent="0.25">
      <c r="A71" s="50" t="s">
        <v>117</v>
      </c>
      <c r="B71" s="50" t="s">
        <v>9</v>
      </c>
      <c r="C71" s="50" t="str">
        <f>+LISTADO!$H$7</f>
        <v>Milady López / Isabel Escobar</v>
      </c>
      <c r="D71" s="50" t="s">
        <v>118</v>
      </c>
      <c r="E71" s="50" t="s">
        <v>128</v>
      </c>
    </row>
    <row r="72" spans="1:5" ht="75" x14ac:dyDescent="0.25">
      <c r="A72" s="50" t="s">
        <v>129</v>
      </c>
      <c r="B72" s="50" t="s">
        <v>9</v>
      </c>
      <c r="C72" s="50" t="str">
        <f>+LISTADO!$H$7</f>
        <v>Milady López / Isabel Escobar</v>
      </c>
      <c r="D72" s="50" t="s">
        <v>130</v>
      </c>
      <c r="E72" s="50" t="s">
        <v>131</v>
      </c>
    </row>
    <row r="73" spans="1:5" ht="45" x14ac:dyDescent="0.25">
      <c r="A73" s="50" t="s">
        <v>129</v>
      </c>
      <c r="B73" s="50" t="s">
        <v>9</v>
      </c>
      <c r="C73" s="50" t="str">
        <f>+LISTADO!$H$7</f>
        <v>Milady López / Isabel Escobar</v>
      </c>
      <c r="D73" s="50" t="s">
        <v>130</v>
      </c>
      <c r="E73" s="50" t="s">
        <v>132</v>
      </c>
    </row>
    <row r="74" spans="1:5" ht="60" x14ac:dyDescent="0.25">
      <c r="A74" s="50" t="s">
        <v>129</v>
      </c>
      <c r="B74" s="50" t="s">
        <v>9</v>
      </c>
      <c r="C74" s="50" t="str">
        <f>+LISTADO!$H$7</f>
        <v>Milady López / Isabel Escobar</v>
      </c>
      <c r="D74" s="50" t="s">
        <v>130</v>
      </c>
      <c r="E74" s="50" t="s">
        <v>133</v>
      </c>
    </row>
    <row r="75" spans="1:5" ht="60" x14ac:dyDescent="0.25">
      <c r="A75" s="50" t="s">
        <v>129</v>
      </c>
      <c r="B75" s="50" t="s">
        <v>9</v>
      </c>
      <c r="C75" s="50" t="str">
        <f>+LISTADO!$H$7</f>
        <v>Milady López / Isabel Escobar</v>
      </c>
      <c r="D75" s="50" t="s">
        <v>130</v>
      </c>
      <c r="E75" s="50" t="s">
        <v>134</v>
      </c>
    </row>
    <row r="76" spans="1:5" ht="45" x14ac:dyDescent="0.25">
      <c r="A76" s="50" t="s">
        <v>129</v>
      </c>
      <c r="B76" s="50" t="s">
        <v>9</v>
      </c>
      <c r="C76" s="50" t="str">
        <f>+LISTADO!$H$7</f>
        <v>Milady López / Isabel Escobar</v>
      </c>
      <c r="D76" s="50" t="s">
        <v>130</v>
      </c>
      <c r="E76" s="50" t="s">
        <v>135</v>
      </c>
    </row>
    <row r="77" spans="1:5" ht="45" x14ac:dyDescent="0.25">
      <c r="A77" s="50" t="s">
        <v>129</v>
      </c>
      <c r="B77" s="50" t="s">
        <v>9</v>
      </c>
      <c r="C77" s="50" t="str">
        <f>+LISTADO!$H$7</f>
        <v>Milady López / Isabel Escobar</v>
      </c>
      <c r="D77" s="50" t="s">
        <v>130</v>
      </c>
      <c r="E77" s="50" t="s">
        <v>136</v>
      </c>
    </row>
    <row r="78" spans="1:5" ht="45" x14ac:dyDescent="0.25">
      <c r="A78" s="50" t="s">
        <v>129</v>
      </c>
      <c r="B78" s="50" t="s">
        <v>9</v>
      </c>
      <c r="C78" s="50" t="str">
        <f>+LISTADO!$H$7</f>
        <v>Milady López / Isabel Escobar</v>
      </c>
      <c r="D78" s="50" t="s">
        <v>130</v>
      </c>
      <c r="E78" s="50" t="s">
        <v>137</v>
      </c>
    </row>
    <row r="79" spans="1:5" ht="45" x14ac:dyDescent="0.25">
      <c r="A79" s="50" t="s">
        <v>129</v>
      </c>
      <c r="B79" s="50" t="s">
        <v>9</v>
      </c>
      <c r="C79" s="50" t="str">
        <f>+LISTADO!$H$7</f>
        <v>Milady López / Isabel Escobar</v>
      </c>
      <c r="D79" s="50" t="s">
        <v>130</v>
      </c>
      <c r="E79" s="50" t="s">
        <v>138</v>
      </c>
    </row>
    <row r="80" spans="1:5" ht="45" x14ac:dyDescent="0.25">
      <c r="A80" s="50" t="s">
        <v>129</v>
      </c>
      <c r="B80" s="50" t="s">
        <v>9</v>
      </c>
      <c r="C80" s="50" t="str">
        <f>+LISTADO!$H$7</f>
        <v>Milady López / Isabel Escobar</v>
      </c>
      <c r="D80" s="50" t="s">
        <v>130</v>
      </c>
      <c r="E80" s="50" t="s">
        <v>139</v>
      </c>
    </row>
    <row r="81" spans="1:5" ht="45" x14ac:dyDescent="0.25">
      <c r="A81" s="50" t="s">
        <v>129</v>
      </c>
      <c r="B81" s="50" t="s">
        <v>9</v>
      </c>
      <c r="C81" s="50" t="str">
        <f>+LISTADO!$H$7</f>
        <v>Milady López / Isabel Escobar</v>
      </c>
      <c r="D81" s="50" t="s">
        <v>130</v>
      </c>
      <c r="E81" s="50" t="s">
        <v>140</v>
      </c>
    </row>
    <row r="82" spans="1:5" ht="90" x14ac:dyDescent="0.25">
      <c r="A82" s="50" t="s">
        <v>141</v>
      </c>
      <c r="B82" s="50" t="s">
        <v>9</v>
      </c>
      <c r="C82" s="50" t="str">
        <f>+LISTADO!$H$7</f>
        <v>Milady López / Isabel Escobar</v>
      </c>
      <c r="D82" s="50" t="s">
        <v>142</v>
      </c>
      <c r="E82" s="50" t="s">
        <v>143</v>
      </c>
    </row>
    <row r="83" spans="1:5" ht="90" x14ac:dyDescent="0.25">
      <c r="A83" s="50" t="s">
        <v>141</v>
      </c>
      <c r="B83" s="50" t="s">
        <v>9</v>
      </c>
      <c r="C83" s="50" t="str">
        <f>+LISTADO!$H$7</f>
        <v>Milady López / Isabel Escobar</v>
      </c>
      <c r="D83" s="50" t="s">
        <v>142</v>
      </c>
      <c r="E83" s="50" t="s">
        <v>144</v>
      </c>
    </row>
    <row r="84" spans="1:5" ht="90" x14ac:dyDescent="0.25">
      <c r="A84" s="50" t="s">
        <v>141</v>
      </c>
      <c r="B84" s="50" t="s">
        <v>9</v>
      </c>
      <c r="C84" s="50" t="str">
        <f>+LISTADO!$H$7</f>
        <v>Milady López / Isabel Escobar</v>
      </c>
      <c r="D84" s="50" t="s">
        <v>142</v>
      </c>
      <c r="E84" s="50" t="s">
        <v>145</v>
      </c>
    </row>
    <row r="85" spans="1:5" ht="90" x14ac:dyDescent="0.25">
      <c r="A85" s="50" t="s">
        <v>141</v>
      </c>
      <c r="B85" s="50" t="s">
        <v>9</v>
      </c>
      <c r="C85" s="50" t="str">
        <f>+LISTADO!$H$7</f>
        <v>Milady López / Isabel Escobar</v>
      </c>
      <c r="D85" s="50" t="s">
        <v>142</v>
      </c>
      <c r="E85" s="50" t="s">
        <v>146</v>
      </c>
    </row>
    <row r="86" spans="1:5" ht="90" x14ac:dyDescent="0.25">
      <c r="A86" s="50" t="s">
        <v>141</v>
      </c>
      <c r="B86" s="50" t="s">
        <v>9</v>
      </c>
      <c r="C86" s="50" t="str">
        <f>+LISTADO!$H$7</f>
        <v>Milady López / Isabel Escobar</v>
      </c>
      <c r="D86" s="50" t="s">
        <v>142</v>
      </c>
      <c r="E86" s="50" t="s">
        <v>147</v>
      </c>
    </row>
    <row r="87" spans="1:5" ht="90" x14ac:dyDescent="0.25">
      <c r="A87" s="50" t="s">
        <v>141</v>
      </c>
      <c r="B87" s="50" t="s">
        <v>9</v>
      </c>
      <c r="C87" s="50" t="str">
        <f>+LISTADO!$H$7</f>
        <v>Milady López / Isabel Escobar</v>
      </c>
      <c r="D87" s="50" t="s">
        <v>142</v>
      </c>
      <c r="E87" s="50" t="s">
        <v>148</v>
      </c>
    </row>
    <row r="88" spans="1:5" ht="90" x14ac:dyDescent="0.25">
      <c r="A88" s="50" t="s">
        <v>141</v>
      </c>
      <c r="B88" s="50" t="s">
        <v>9</v>
      </c>
      <c r="C88" s="50" t="str">
        <f>+LISTADO!$H$7</f>
        <v>Milady López / Isabel Escobar</v>
      </c>
      <c r="D88" s="50" t="s">
        <v>142</v>
      </c>
      <c r="E88" s="50" t="s">
        <v>149</v>
      </c>
    </row>
    <row r="89" spans="1:5" ht="90" x14ac:dyDescent="0.25">
      <c r="A89" s="50" t="s">
        <v>141</v>
      </c>
      <c r="B89" s="50" t="s">
        <v>9</v>
      </c>
      <c r="C89" s="50" t="str">
        <f>+LISTADO!$H$7</f>
        <v>Milady López / Isabel Escobar</v>
      </c>
      <c r="D89" s="50" t="s">
        <v>142</v>
      </c>
      <c r="E89" s="50" t="s">
        <v>150</v>
      </c>
    </row>
    <row r="90" spans="1:5" ht="90" x14ac:dyDescent="0.25">
      <c r="A90" s="50" t="s">
        <v>141</v>
      </c>
      <c r="B90" s="50" t="s">
        <v>9</v>
      </c>
      <c r="C90" s="50" t="str">
        <f>+LISTADO!$H$7</f>
        <v>Milady López / Isabel Escobar</v>
      </c>
      <c r="D90" s="50" t="s">
        <v>142</v>
      </c>
      <c r="E90" s="50" t="s">
        <v>151</v>
      </c>
    </row>
    <row r="91" spans="1:5" ht="90" x14ac:dyDescent="0.25">
      <c r="A91" s="50" t="s">
        <v>141</v>
      </c>
      <c r="B91" s="50" t="s">
        <v>9</v>
      </c>
      <c r="C91" s="50" t="str">
        <f>+LISTADO!$H$7</f>
        <v>Milady López / Isabel Escobar</v>
      </c>
      <c r="D91" s="50" t="s">
        <v>142</v>
      </c>
      <c r="E91" s="50" t="s">
        <v>152</v>
      </c>
    </row>
    <row r="92" spans="1:5" ht="60" x14ac:dyDescent="0.25">
      <c r="A92" s="50" t="s">
        <v>153</v>
      </c>
      <c r="B92" s="50" t="s">
        <v>9</v>
      </c>
      <c r="C92" s="50" t="str">
        <f>+LISTADO!$H$7</f>
        <v>Milady López / Isabel Escobar</v>
      </c>
      <c r="D92" s="50" t="s">
        <v>154</v>
      </c>
      <c r="E92" s="50" t="s">
        <v>155</v>
      </c>
    </row>
    <row r="93" spans="1:5" ht="60" x14ac:dyDescent="0.25">
      <c r="A93" s="50" t="s">
        <v>153</v>
      </c>
      <c r="B93" s="50" t="s">
        <v>9</v>
      </c>
      <c r="C93" s="50" t="str">
        <f>+LISTADO!$H$7</f>
        <v>Milady López / Isabel Escobar</v>
      </c>
      <c r="D93" s="50" t="s">
        <v>154</v>
      </c>
      <c r="E93" s="50" t="s">
        <v>156</v>
      </c>
    </row>
    <row r="94" spans="1:5" ht="45" x14ac:dyDescent="0.25">
      <c r="A94" s="50" t="s">
        <v>153</v>
      </c>
      <c r="B94" s="50" t="s">
        <v>9</v>
      </c>
      <c r="C94" s="50" t="str">
        <f>+LISTADO!$H$7</f>
        <v>Milady López / Isabel Escobar</v>
      </c>
      <c r="D94" s="50" t="s">
        <v>154</v>
      </c>
      <c r="E94" s="50" t="s">
        <v>157</v>
      </c>
    </row>
    <row r="95" spans="1:5" ht="45" x14ac:dyDescent="0.25">
      <c r="A95" s="50" t="s">
        <v>153</v>
      </c>
      <c r="B95" s="50" t="s">
        <v>9</v>
      </c>
      <c r="C95" s="50" t="str">
        <f>+LISTADO!$H$7</f>
        <v>Milady López / Isabel Escobar</v>
      </c>
      <c r="D95" s="50" t="s">
        <v>154</v>
      </c>
      <c r="E95" s="50" t="s">
        <v>158</v>
      </c>
    </row>
    <row r="96" spans="1:5" ht="45" x14ac:dyDescent="0.25">
      <c r="A96" s="50" t="s">
        <v>153</v>
      </c>
      <c r="B96" s="50" t="s">
        <v>9</v>
      </c>
      <c r="C96" s="50" t="str">
        <f>+LISTADO!$H$7</f>
        <v>Milady López / Isabel Escobar</v>
      </c>
      <c r="D96" s="50" t="s">
        <v>154</v>
      </c>
      <c r="E96" s="50" t="s">
        <v>159</v>
      </c>
    </row>
    <row r="97" spans="1:5" ht="45" x14ac:dyDescent="0.25">
      <c r="A97" s="50" t="s">
        <v>153</v>
      </c>
      <c r="B97" s="50" t="s">
        <v>9</v>
      </c>
      <c r="C97" s="50" t="str">
        <f>+LISTADO!$H$7</f>
        <v>Milady López / Isabel Escobar</v>
      </c>
      <c r="D97" s="50" t="s">
        <v>154</v>
      </c>
      <c r="E97" s="50" t="s">
        <v>160</v>
      </c>
    </row>
    <row r="98" spans="1:5" ht="45" x14ac:dyDescent="0.25">
      <c r="A98" s="50" t="s">
        <v>153</v>
      </c>
      <c r="B98" s="50" t="s">
        <v>9</v>
      </c>
      <c r="C98" s="50" t="str">
        <f>+LISTADO!$H$7</f>
        <v>Milady López / Isabel Escobar</v>
      </c>
      <c r="D98" s="50" t="s">
        <v>154</v>
      </c>
      <c r="E98" s="50" t="s">
        <v>161</v>
      </c>
    </row>
    <row r="99" spans="1:5" ht="60" x14ac:dyDescent="0.25">
      <c r="A99" s="50" t="s">
        <v>153</v>
      </c>
      <c r="B99" s="50" t="s">
        <v>9</v>
      </c>
      <c r="C99" s="50" t="str">
        <f>+LISTADO!$H$7</f>
        <v>Milady López / Isabel Escobar</v>
      </c>
      <c r="D99" s="50" t="s">
        <v>154</v>
      </c>
      <c r="E99" s="50" t="s">
        <v>162</v>
      </c>
    </row>
    <row r="100" spans="1:5" ht="45" x14ac:dyDescent="0.25">
      <c r="A100" s="50" t="s">
        <v>153</v>
      </c>
      <c r="B100" s="50" t="s">
        <v>9</v>
      </c>
      <c r="C100" s="50" t="str">
        <f>+LISTADO!$H$7</f>
        <v>Milady López / Isabel Escobar</v>
      </c>
      <c r="D100" s="50" t="s">
        <v>154</v>
      </c>
      <c r="E100" s="50" t="s">
        <v>163</v>
      </c>
    </row>
    <row r="101" spans="1:5" ht="45" x14ac:dyDescent="0.25">
      <c r="A101" s="50" t="s">
        <v>153</v>
      </c>
      <c r="B101" s="50" t="s">
        <v>9</v>
      </c>
      <c r="C101" s="50" t="str">
        <f>+LISTADO!$H$7</f>
        <v>Milady López / Isabel Escobar</v>
      </c>
      <c r="D101" s="50" t="s">
        <v>154</v>
      </c>
      <c r="E101" s="50" t="s">
        <v>164</v>
      </c>
    </row>
    <row r="102" spans="1:5" ht="45" x14ac:dyDescent="0.25">
      <c r="A102" s="50" t="s">
        <v>165</v>
      </c>
      <c r="B102" s="50" t="s">
        <v>9</v>
      </c>
      <c r="C102" s="50" t="str">
        <f>+LISTADO!$H$7</f>
        <v>Milady López / Isabel Escobar</v>
      </c>
      <c r="D102" s="50" t="s">
        <v>166</v>
      </c>
      <c r="E102" s="50" t="s">
        <v>167</v>
      </c>
    </row>
    <row r="103" spans="1:5" ht="60" x14ac:dyDescent="0.25">
      <c r="A103" s="50" t="s">
        <v>165</v>
      </c>
      <c r="B103" s="50" t="s">
        <v>9</v>
      </c>
      <c r="C103" s="50" t="str">
        <f>+LISTADO!$H$7</f>
        <v>Milady López / Isabel Escobar</v>
      </c>
      <c r="D103" s="50" t="s">
        <v>166</v>
      </c>
      <c r="E103" s="50" t="s">
        <v>168</v>
      </c>
    </row>
    <row r="104" spans="1:5" ht="60" x14ac:dyDescent="0.25">
      <c r="A104" s="50" t="s">
        <v>165</v>
      </c>
      <c r="B104" s="50" t="s">
        <v>9</v>
      </c>
      <c r="C104" s="50" t="str">
        <f>+LISTADO!$H$7</f>
        <v>Milady López / Isabel Escobar</v>
      </c>
      <c r="D104" s="50" t="s">
        <v>166</v>
      </c>
      <c r="E104" s="50" t="s">
        <v>169</v>
      </c>
    </row>
    <row r="105" spans="1:5" ht="45" x14ac:dyDescent="0.25">
      <c r="A105" s="50" t="s">
        <v>165</v>
      </c>
      <c r="B105" s="50" t="s">
        <v>9</v>
      </c>
      <c r="C105" s="50" t="str">
        <f>+LISTADO!$H$7</f>
        <v>Milady López / Isabel Escobar</v>
      </c>
      <c r="D105" s="50" t="s">
        <v>166</v>
      </c>
      <c r="E105" s="50" t="s">
        <v>170</v>
      </c>
    </row>
    <row r="106" spans="1:5" ht="45" x14ac:dyDescent="0.25">
      <c r="A106" s="50" t="s">
        <v>165</v>
      </c>
      <c r="B106" s="50" t="s">
        <v>9</v>
      </c>
      <c r="C106" s="50" t="str">
        <f>+LISTADO!$H$7</f>
        <v>Milady López / Isabel Escobar</v>
      </c>
      <c r="D106" s="50" t="s">
        <v>166</v>
      </c>
      <c r="E106" s="50" t="s">
        <v>171</v>
      </c>
    </row>
    <row r="107" spans="1:5" ht="45" x14ac:dyDescent="0.25">
      <c r="A107" s="50" t="s">
        <v>165</v>
      </c>
      <c r="B107" s="50" t="s">
        <v>9</v>
      </c>
      <c r="C107" s="50" t="str">
        <f>+LISTADO!$H$7</f>
        <v>Milady López / Isabel Escobar</v>
      </c>
      <c r="D107" s="50" t="s">
        <v>166</v>
      </c>
      <c r="E107" s="50" t="s">
        <v>172</v>
      </c>
    </row>
    <row r="108" spans="1:5" ht="60" x14ac:dyDescent="0.25">
      <c r="A108" s="50" t="s">
        <v>165</v>
      </c>
      <c r="B108" s="50" t="s">
        <v>9</v>
      </c>
      <c r="C108" s="50" t="str">
        <f>+LISTADO!$H$7</f>
        <v>Milady López / Isabel Escobar</v>
      </c>
      <c r="D108" s="50" t="s">
        <v>166</v>
      </c>
      <c r="E108" s="50" t="s">
        <v>173</v>
      </c>
    </row>
    <row r="109" spans="1:5" ht="45" x14ac:dyDescent="0.25">
      <c r="A109" s="50" t="s">
        <v>165</v>
      </c>
      <c r="B109" s="50" t="s">
        <v>9</v>
      </c>
      <c r="C109" s="50" t="str">
        <f>+LISTADO!$H$7</f>
        <v>Milady López / Isabel Escobar</v>
      </c>
      <c r="D109" s="50" t="s">
        <v>166</v>
      </c>
      <c r="E109" s="50" t="s">
        <v>174</v>
      </c>
    </row>
    <row r="110" spans="1:5" ht="45" x14ac:dyDescent="0.25">
      <c r="A110" s="50" t="s">
        <v>165</v>
      </c>
      <c r="B110" s="50" t="s">
        <v>9</v>
      </c>
      <c r="C110" s="50" t="str">
        <f>+LISTADO!$H$7</f>
        <v>Milady López / Isabel Escobar</v>
      </c>
      <c r="D110" s="50" t="s">
        <v>166</v>
      </c>
      <c r="E110" s="50" t="s">
        <v>175</v>
      </c>
    </row>
    <row r="111" spans="1:5" ht="45" x14ac:dyDescent="0.25">
      <c r="A111" s="50" t="s">
        <v>165</v>
      </c>
      <c r="B111" s="50" t="s">
        <v>9</v>
      </c>
      <c r="C111" s="50" t="str">
        <f>+LISTADO!$H$7</f>
        <v>Milady López / Isabel Escobar</v>
      </c>
      <c r="D111" s="50" t="s">
        <v>166</v>
      </c>
      <c r="E111" s="50" t="s">
        <v>176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
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9" documentId="11_541E2A5D8F810F2429AF7BF073D6EAE14ED6832E" xr6:coauthVersionLast="47" xr6:coauthVersionMax="47" xr10:uidLastSave="{5F8550B0-9E7B-4833-881F-AB5045E20BCA}"/>
  <bookViews>
    <workbookView xWindow="28680" yWindow="2610" windowWidth="24240" windowHeight="13020"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<sst xmlns="http://schemas.openxmlformats.org/spreadsheetml/2006/main" count="325" uniqueCount="129">
  <si>
    <t xml:space="preserve">CI COLOMBIAN MINT </t>
  </si>
  <si>
    <t>Codigo: GMC-FR08</t>
  </si>
  <si>
    <t xml:space="preserve">   LISTADO DE VERIFICACION </t>
  </si>
  <si>
    <t>Versión:1</t>
  </si>
  <si>
    <t>Fecha de aprobación: 
01/07/2021</t>
  </si>
  <si>
    <t>1. PLANIFICACIÓN DE LA AUDITORIA</t>
  </si>
  <si>
    <t xml:space="preserve">FECHA </t>
  </si>
  <si>
    <t>2026-07-10</t>
  </si>
  <si>
    <t>PROCESO</t>
  </si>
  <si>
    <t>GTI GESTIÓN TECNOLOGÍA</t>
  </si>
  <si>
    <t xml:space="preserve">AUDITOR </t>
  </si>
  <si>
    <t>Diana Arboleda / Luis Jaime Alvarez</t>
  </si>
  <si>
    <t>AUDITADO</t>
  </si>
  <si>
    <t>Javier Tabares / Alexis Cuello</t>
  </si>
  <si>
    <t>DOCUMENTOS RELACIONADOS</t>
  </si>
  <si>
    <t>GMC-FR07 Plan Auditorías 2026 · Res. 015/2016 Art. 4º · GMC-FR08</t>
  </si>
  <si>
    <t>REQUISITOS</t>
  </si>
  <si>
    <t>OEA 1.10, OEA 8.1, OEA 8.2, OEA 8.3, OEA 8.4, OEA 8.5, OEA 8.6</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</si>
  <si>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</si>
  <si>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</si>
  <si>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</si>
  <si>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</si>
  <si>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</si>
  <si>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</si>
  <si>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</si>
  <si>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</si>
  <si>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</si>
  <si>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</si>
  <si>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</si>
  <si>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</si>
  <si>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</si>
  <si>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</si>
  <si>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</si>
  <si>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</si>
  <si>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</si>
  <si>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</si>
  <si>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</si>
  <si>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</si>
  <si>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</si>
  <si>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</si>
  <si>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</si>
  <si>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</si>
  <si>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</si>
  <si>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</si>
  <si>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</si>
  <si>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1.10</t>
  </si>
  <si>
    <t>Controlar el acceso y salida de información por medio de correo electrónico, soportes magnéticos, dispositivos de almacenamiento extraíble y demás.</t>
  </si>
  <si>
    <t>¿Mencione el documento(s), procedimiento(s), instructivo(s), manual(es) que describe las actividades que se ejecutan para la salida e ingreso de las mercancías garantizando el control del pesaje, contabilización, medición o tallaje (según aplique), debe ser razonable para el tipo de mercancía (unidades, granel, bultos, etc.). Indique la ubicación en el documento (numeral, ítem, párrafos, página, etc.) Indique versión, fecha e identificación en el SGD. Para sustentar, presente evidencia documental vigente de Colombian Mint, tales como: GTI-GU04 (Guía para la Identificación y Reporte de Incidentes de Seguridad de la), GTI-GU01 (Política de Seguridad de la Información)?</t>
  </si>
  <si>
    <t>¿Mencione el formato, registros, sistemas informáticos y/o mecanismos implementados. Indique versión, fecha e identificación en el SGD. Para sustentar, presente evidencia documental vigente de Colombian Mint, tales como: GTI-GU04 (Guía para la Identificación y Reporte de Incidentes de Seguridad de la), GTI-GU01 (Política de Seguridad de la Información)?</t>
  </si>
  <si>
    <t>¿En caso de tener tercerizado este proceso ¿Cuáles son las medidas de control que su asociado de negocio implementa para el cumplimiento del pesaje, contabilización, medición o tallaje de las mercancías al ingreso o salida de la zona de almacenamiento? Indique en el documento de su asociado de negocio, la ubicación del documento (numeral, ítem, párrafos, página, etc.). Para sustentar, presente evidencia documental vigente de Colombian Mint, tales como: GTI-GU01 (Política de Seguridad de la Información), GTI-GU04 (Guía para la Identificación y Reporte de Incidentes de Seguridad de la)?</t>
  </si>
  <si>
    <t>¿Cargue las evidencias de implementación (Ej. Procedimiento(s), instructivo(s), manual(es), registros de ingreso y/o salida, planilla de recepción, tiquete de báscula, lista de chequeo, captura de pantalla del sistema, registro fotográfico de despacho / recepción, correos, cláusulas de seguridad, acuerdos, SOP, etc.). • Cargue un informe que contenga evidencias de capturas de pantalla de las configuraciones • Cargue un informe que contenga evidencias de capacitaciones sobre seguridad de la información que implementadas para aplicar los controles en los puertos USB. contenga los temas tratados en las presentaciones o cursos. Para sustentar, presente evidencia documental vigente de Colombian Mint, tales como: GTI-GU01 (Política de Seguridad de la Información), GTI-GU04 (Guía para la Identificación y Reporte de Incidentes de Seguridad de la)?</t>
  </si>
  <si>
    <t>¿según criterios de auditoría OEA (ISO 19011) para el requisito OEA 1.10: Política de seguridad de la información. ¿Qué evidencia objetiva presenta el auditado? Documentos de referencia: GTI-GU01 (Política de Seguridad de la Información), GTI-GU04 (Guía para la Identificación y Reporte de Incidentes de Seguridad de la)?</t>
  </si>
  <si>
    <t>¿Verifique el documento GTI-IN01 (Estándar para cambio de contraseñas plataformas TIC). ¿Está vigente, identificado en el SGD, aprobado por la autoridad competente y en aplicación para el requisito OEA 1.10?</t>
  </si>
  <si>
    <t>¿Verifique el documento GTI-IN07 (Estándar políticas de redes y navegación). ¿Está vigente, identificado en el SGD, aprobado por la autoridad competente y en aplicación para el requisito OEA 1.10?</t>
  </si>
  <si>
    <t>¿Verifique el documento GTI-IN08 (Estándar parametrización y administración de Office 365.). ¿Está vigente, identificado en el SGD, aprobado por la autoridad competente y en aplicación para el requisito OEA 1.10?</t>
  </si>
  <si>
    <t>¿Verifique el documento GTI-MT03 (Matriz de Permisos Usuarios AURUM). ¿Está vigente, identificado en el SGD, aprobado por la autoridad competente y en aplicación para el requisito OEA 1.10?</t>
  </si>
  <si>
    <t>OEA 8.1</t>
  </si>
  <si>
    <t>Debe utilizar un sistema informático para el control y seguimiento de su negocio, sus operaciones financieras, contables, aduaneras y comerciales.</t>
  </si>
  <si>
    <t>¿un informe que contenga evidencias de controles para seguridad en la nube y perimetral (firewalls de próxima generación (NGFWs), soluciones de detección y prevención de intrusiones (IDS/IPS), web application firewalls (WAF), cifrado para datos en reposo y en tránsito. ¿Qué registros o documentos (GTI-CA01 (Caracterización Gestión Tecnología e Información), GTI-PL01 (Plan Estratégico de Tecnologías de la Información (PETI))) demuestran el cumplimiento de lo solicitado?</t>
  </si>
  <si>
    <t>¿un informe que contenga evidencias de controles para seguridad en la red (Soluciones de detección y respuesta de red (NDR), monitoreo y análisis de red, segmentación de red). ¿Qué registros o documentos (GTI-CA01 (Caracterización Gestión Tecnología e Información), GTI-PL01 (Plan Estratégico de Tecnologías de la Información (PETI))) demuestran el cumplimiento de lo solicitado?</t>
  </si>
  <si>
    <t>¿un informe que contenga evidencias de controles para seguridad en servidores y terminales (sistemas de detección de intrusiones en el host (HIDS), gestión de parches y actualización es en servidores y terminales, soluciones de detección y respuesta en endpoints (EDR), soluciones antivirus y antimalware, inventario de hardware y software). ¿Qué registros o documentos (GTI-CA01 (Caracterización Gestión Tecnología e Información), GTI-PR01 (Procedimiento Gestión de Tecnología e Informática)) demuestran el cumplimiento de lo solicitado?</t>
  </si>
  <si>
    <t>¿un informe que contenga evidencias de controles para seguridad en aplicaciones (Pruebas de penetración y análisis de código estático/dinámico, actualizaciones y parches de seguridad, protección de claves de API y credenciales). ¿Qué registros o documentos (GTI-CA01 (Caracterización Gestión Tecnología e Información), GTI-PL01 (Plan Estratégico de Tecnologías de la Información (PETI))) demuestran el cumplimiento de lo solicitado?</t>
  </si>
  <si>
    <t>¿un informe de herramientas de SIEM (Gestión de Eventos e Información de Seguridad) para la correlación y análisis de eventos de seguridad, inteligencia de amenazas, cifrado para datos en reposo y en tránsito, copias de seguridad o respaldo. ¿Qué registros o documentos (GTI-CA01 (Caracterización Gestión Tecnología e Información), GTI-PL01 (Plan Estratégico de Tecnologías de la Información (PETI))) demuestran el cumplimiento de lo solicitado?</t>
  </si>
  <si>
    <t>¿un informe de las operaciones gestionadas a través del SOC/NOC/GSOC (Si esta implementado). ¿Qué registros o documentos (GTI-CA01 (Caracterización Gestión Tecnología e Información), GTI-PL01 (Plan Estratégico de Tecnologías de la Información (PETI))) demuestran el cumplimiento de lo solicitado?</t>
  </si>
  <si>
    <t>¿un informe de la auditoría de sistemas más reciente. ¿Qué registros o documentos (GTI-CA01 (Caracterización Gestión Tecnología e Información), GTI-PL01 (Plan Estratégico de Tecnologías de la Información (PETI))) demuestran el cumplimiento de lo solicitado?</t>
  </si>
  <si>
    <t>¿un informe de pruebas de seguridad (Pruebas de penetración o hacking ético, evaluación de vulnerabilidades). ¿Qué registros o documentos (GTI-CA01 (Caracterización Gestión Tecnología e Información), GTI-PL01 (Plan Estratégico de Tecnologías de la Información (PETI))) demuestran el cumplimiento de lo solicitado?</t>
  </si>
  <si>
    <t>¿según criterios de auditoría OEA (ISO 19011) para el requisito OEA 8.1: Diagrama del sistema informático utilizado. ¿Qué evidencia objetiva presenta el auditado? Documentos de referencia: GTI-CA01 (Caracterización Gestión Tecnología e Información), GTI-PL01 (Plan Estratégico de Tecnologías de la Información (PETI))?</t>
  </si>
  <si>
    <t>¿Verifique el documento GTI-MT04 (Matriz de Plataformas Tecnológicas). ¿Está vigente, identificado en el SGD, aprobado por la autoridad competente y en aplicación para el requisito OEA 8.1?</t>
  </si>
  <si>
    <t>OEA 8.2</t>
  </si>
  <si>
    <t>Debe tener políticas y procedimientos documentados de seguridad informática que comprendan: los responsables del manejo de la información, la creación, administración y asignación de roles, administración de cuentas de acceso a los sistemas de información y correo electrónico, uso de Internet; la interconexión con sistemas de información externos, el correcto uso de recursos informáticos, así como los controles necesarios que garanticen la confidencialidad de la información.</t>
  </si>
  <si>
    <t>¿Cuenta con una política de seguridad de la información? Indique la ubicación e identificación con la que se caracteriza en el SGD. Para sustentar, presente evidencia documental vigente de Colombian Mint, tales como: GTI-GU01 (Política de Seguridad de la Información), GTI-GU04 (Guía para la Identificación y Reporte de Incidentes de Seguridad de la)?</t>
  </si>
  <si>
    <t>¿Cuenta con procedimientos de seguridad de la información para gestión activos de información y riesgos, clasificación de la información, gestión de identidades y accesos, capacitación y sensibilización, cifrado de información y protección de datos, gestión de incidentes, seguridad en arquitectura de redes y comunicaciones, gestión de acceso a centros de datos y comunicaciones, pruebas y evaluaciones de seguridad (evaluación de vulnerabilidades y pruebas de penetración), continuidad del negocio, desarrollo seguro y adquisición de software, gestión de proveedores de tecnología, integridad de los sistemas, gestión del legado, gestión de parches y actualizaciones, borrado seguro de información o destrucción de medios de almacenamiento, monitoreo y detección, cumplimiento, respaldo de información y demás aspectos que garanticen la confidencialidad, integridad y disponibilidad de la información? Indique la ubicación e identificación con la que se caracteriza en el SGD. Para sustentar, presente evidencia documental vigente de Colombian Mint, tales como: GTI-GU04 (Guía para la Identificación y Reporte de Incidentes de Seguridad de la), GTI-GU01 (Política de Seguridad de la Información)?</t>
  </si>
  <si>
    <t>¿Relacione las evidencias de implementación: • Documento de política de seguridad de la información. • Documentos de procedimientos de seguridad de la información. • Un informe que contenga evidencias de capturas de pantalla de la configuración implementada para garantizar los controles de navegación en internet dentro de la empresa y capturas de pantalla de pruebas de navegación en los sitios web no permitidos. • Un informe que contenga evidencias de capturas de pantalla del servidor de archivos o de la nube donde se almacenan los documentos compartidos. • Un informe que contenga evidencias de capturas de pantalla de la configuración implementada para conectarse remotamente a la red corporativa. • Tres actas de entrega de equipos de cómputo. • Tres contratos laborales a diferente nivel dentro de la empresa, donde se evidencien cláusulas de confidencialidad y/o acuerdos de confidencialidad. Para sustentar, presente evidencia documental vigente de Colombian Mint, tales como: GTI-GU01 (Política de Seguridad de la Información), GTI-GU04 (Guía para la Identificación y Reporte de Incidentes de Seguridad de la)?</t>
  </si>
  <si>
    <t>¿según criterios de auditoría OEA (ISO 19011) para el requisito OEA 8.2: Política de seguridad de la información. ¿Qué evidencia objetiva presenta el auditado? Documentos de referencia: GTI-GU01 (Política de Seguridad de la Información), GTI-GU04 (Guía para la Identificación y Reporte de Incidentes de Seguridad de la)?</t>
  </si>
  <si>
    <t>¿Verifique el documento GTI-GU02 (Política del centro de cómputo). ¿Está vigente, identificado en el SGD, aprobado por la autoridad competente y en aplicación para el requisito OEA 8.2?</t>
  </si>
  <si>
    <t>¿Verifique el documento GTI-IN04 (Estándar Parametrización y administración del directorio activo). ¿Está vigente, identificado en el SGD, aprobado por la autoridad competente y en aplicación para el requisito OEA 8.2?</t>
  </si>
  <si>
    <t>¿Verifique el documento GTI-IN07 (Estándar políticas de redes y navegación). ¿Está vigente, identificado en el SGD, aprobado por la autoridad competente y en aplicación para el requisito OEA 8.2?</t>
  </si>
  <si>
    <t>¿Verifique el documento GTI-MT03 (Matriz de Permisos Usuarios AURUM). ¿Está vigente, identificado en el SGD, aprobado por la autoridad competente y en aplicación para el requisito OEA 8.2?</t>
  </si>
  <si>
    <t>¿Verifique el documento GTI-PR01 (Procedimiento Gestión de Tecnología e Informática). ¿Está vigente, identificado en el SGD, aprobado por la autoridad competente y en aplicación para el requisito OEA 8.2?</t>
  </si>
  <si>
    <t>¿El requisito OEA 8.2 exige: "Debe tener políticas y procedimientos documentados de seguridad informática que comprendan: los responsables del manejo de la información, la creación, administración y asignación ." ¿Qué controles operativos y registros demuestran su cumplimiento sostenido en Colombian Mint?</t>
  </si>
  <si>
    <t>OEA 8.3</t>
  </si>
  <si>
    <t>Debe asignar cuentas individuales de acceso a la plataforma de tecnología que exijan su cambio periódico, y que cuenten con características que incrementen los niveles de seguridad.</t>
  </si>
  <si>
    <t>¿Cuenta con un procedimiento de gestión de contraseñas? Indique la ubicación e identificación con la que se caracteriza en el SGD. Para sustentar, presente evidencia documental vigente de Colombian Mint, tales como: GTI-PR01 (Procedimiento Gestión de Tecnología e Informática), GTI-IN01 (Estándar para cambio de contraseñas plataformas TIC)?</t>
  </si>
  <si>
    <t>¿Tiene implementado el doble factor de autenticación 2FA (Two Factor Authentication) o multiple factor de autenticación MFA (Multiple Factor Authentication). ¿Qué registros o documentos (GTI-PR01 (Procedimiento Gestión de Tecnología e Informática), GTI-IN01 (Estándar para cambio de contraseñas plataformas TIC)) demuestran el cumplimiento de lo solicitado?</t>
  </si>
  <si>
    <t>¿Relacione las evidencias de implementación: • Documento de procedimiento de gestión de contraseñas. • Un informe que contenga evidencias de capturas de pantalla de la implementación en los sistemas informáticos de los parámetros de contraseña establecidos en el procedimiento. Para sustentar, presente evidencia documental vigente de Colombian Mint, tales como: GTI-PR01 (Procedimiento Gestión de Tecnología e Informática), GTI-IN01 (Estándar para cambio de contraseñas plataformas TIC)?</t>
  </si>
  <si>
    <t>¿según criterios de auditoría OEA (ISO 19011) para el requisito OEA 8.3: Registro de asignación de cuentas. ¿Qué evidencia objetiva presenta el auditado? Documentos de referencia: GTI-PR01 (Procedimiento Gestión de Tecnología e Informática), GTI-IN01 (Estándar para cambio de contraseñas plataformas TIC)?</t>
  </si>
  <si>
    <t>¿según criterios de auditoría OEA (ISO 19011) para el requisito OEA 8.3: Procedimiento de creación y administración de usuarios y perfiles para los sistemas críticos. ¿Qué evidencia objetiva presenta el auditado? Documentos de referencia: GTI-PR01 (Procedimiento Gestión de Tecnología e Informática), GTI-MT03 (Matriz de Permisos Usuarios AURUM)?</t>
  </si>
  <si>
    <t>¿Verifique el documento GTI-IN04 (Estándar Parametrización y administración del directorio activo). ¿Está vigente, identificado en el SGD, aprobado por la autoridad competente y en aplicación para el requisito OEA 8.3?</t>
  </si>
  <si>
    <t>¿Verifique el documento GTI-MT05 (Matriz de Grupos en SharePoint). ¿Está vigente, identificado en el SGD, aprobado por la autoridad competente y en aplicación para el requisito OEA 8.3?</t>
  </si>
  <si>
    <t>¿El requisito OEA 8.3 exige: "Debe asignar cuentas individuales de acceso a la plataforma de tecnología que exijan su cambio periódico, y que cuenten con características que incrementen los niveles de seguridad." ¿Qué controles operativos y registros demuestran su cumplimiento sostenido en Colombian Mint?</t>
  </si>
  <si>
    <t>¿El personal entrevistado conoce los requisitos de OEA 8.3 y su responsabilidad en el cumplimiento? Solicite evidencia de socialización, inducción o capacitación?</t>
  </si>
  <si>
    <t>¿Existen indicadores o métricas definidos para verificar la eficacia de los controles del requisito OEA 8.3? Presente resultados del último periodo evaluado?</t>
  </si>
  <si>
    <t>OEA 8.4</t>
  </si>
  <si>
    <t>Debe tener establecidos controles que permitan identificar el abuso de los sistemas de cómputo y de tecnología informática, así como para detectar el acceso inapropiado y la manipulación indebida de la información.</t>
  </si>
  <si>
    <t>¿un informe que contenga evidencias de controles para seguridad en la nube y perimetral (firewalls de próxima generación (NGFWs), soluciones de detección y prevención de intrusiones (IDS/IPS), web application firewalls (WAF), cifrado para datos en reposo y en tránsito. ¿Qué registros o documentos (GTI-GU04 (Guía para la Identificación y Reporte de Incidentes de Seguridad de la), GTI-FR03 (Formato Auditoría Seguridad de la Información)) demuestran el cumplimiento de lo solicitado?</t>
  </si>
  <si>
    <t>¿un informe que contenga evidencias de controles para seguridad en la red (Soluciones de detección y respuesta de red (NDR), monitoreo y análisis de red, segmentación de red). ¿Qué registros o documentos (GTI-GU04 (Guía para la Identificación y Reporte de Incidentes de Seguridad de la), GTI-FR03 (Formato Auditoría Seguridad de la Información)) demuestran el cumplimiento de lo solicitado?</t>
  </si>
  <si>
    <t>¿un informe que contenga evidencias de controles para seguridad en servidores y terminales (sistemas de detección de intrusiones en el host (HIDS), gestión de parches y actualización es en servidores y terminales, soluciones de detección y respuesta en endpoints (EDR), soluciones antivirus y antimalware, inventario de hardware y software). ¿Qué registros o documentos (GPD-PR02 (Procedimiento para la Gestión de Incidentes de Seguridad de la Informa), GTI-GU04 (Guía para la Identificación y Reporte de Incidentes de Seguridad de la)) demuestran el cumplimiento de lo solicitado?</t>
  </si>
  <si>
    <t>¿un informe que contenga evidencias de controles para seguridad en aplicaciones (Pruebas de penetración y análisis de código estático/dinámico, actualizaciones y parches de seguridad, protección de claves de API y credenciales). ¿Qué registros o documentos (GTI-GU04 (Guía para la Identificación y Reporte de Incidentes de Seguridad de la), GTI-FR03 (Formato Auditoría Seguridad de la Información)) demuestran el cumplimiento de lo solicitado?</t>
  </si>
  <si>
    <t>¿un informe de herramientas de SIEM (Gestión de Eventos e Información de Seguridad) para la correlación y análisis de eventos de seguridad, inteligencia de amenazas, cifrado para datos en reposo y en tránsito, copias de seguridad o respaldo. ¿Qué registros o documentos (GPD-PR02 (Procedimiento para la Gestión de Incidentes de Seguridad de la Informa), GTI-GU04 (Guía para la Identificación y Reporte de Incidentes de Seguridad de la)) demuestran el cumplimiento de lo solicitado?</t>
  </si>
  <si>
    <t>¿un informe de las operaciones gestionadas a través del SOC/NOC/GSOC (Si esta implementado). ¿Qué registros o documentos (GTI-GU04 (Guía para la Identificación y Reporte de Incidentes de Seguridad de la), GTI-FR03 (Formato Auditoría Seguridad de la Información)) demuestran el cumplimiento de lo solicitado?</t>
  </si>
  <si>
    <t>¿un informe de la auditoría de sistemas más reciente. ¿Qué registros o documentos (GTI-FR03 (Formato Auditoría Seguridad de la Información), GTI-GU04 (Guía para la Identificación y Reporte de Incidentes de Seguridad de la)) demuestran el cumplimiento de lo solicitado?</t>
  </si>
  <si>
    <t>¿un informe de pruebas de seguridad (Pruebas de penetración o hacking ético, evaluación de vulnerabilidades). ¿Qué registros o documentos (GTI-GU04 (Guía para la Identificación y Reporte de Incidentes de Seguridad de la), GTI-FR03 (Formato Auditoría Seguridad de la Información)) demuestran el cumplimiento de lo solicitado?</t>
  </si>
  <si>
    <t>¿según criterios de auditoría OEA (ISO 19011) para el requisito OEA 8.4: Reportes de monitoreo del sistema. ¿Qué evidencia objetiva presenta el auditado? Documentos de referencia: GTI-GU04 (Guía para la Identificación y Reporte de Incidentes de Seguridad de la), GTI-FR03 (Formato Auditoría Seguridad de la Información)?</t>
  </si>
  <si>
    <t>¿según criterios de auditoría OEA (ISO 19011) para el requisito OEA 8.4: Procedimiento de respuesta a incidentes. ¿Qué evidencia objetiva presenta el auditado? Documentos de referencia: GPD-PR02 (Procedimiento para la Gestión de Incidentes de Seguridad de la Informa), GTI-GU04 (Guía para la Identificación y Reporte de Incidentes de Seguridad de la)?</t>
  </si>
  <si>
    <t>OEA 8.5</t>
  </si>
  <si>
    <t>Debe tener un plan de contingencia informática documentado, implementado, mantenido y en proceso de mejora continua.</t>
  </si>
  <si>
    <t>¿Cuenta con un plan de continuidad del negocio BCP? indique la ubicación e identificación con la que se caracteriza en el SGD. Para sustentar, presente evidencia documental vigente de Colombian Mint, tales como: GPE-GU01 (Plan de Continuidad de Negocio), GTI-GU05 (Plan de Contingencia Tecnológica)?</t>
  </si>
  <si>
    <t>¿Cuenta con un plan de contingencia tecnológica o un plan de recuperación de desastres DRP? indique la ubicación e identificación con la que se caracteriza en el SGD. Para sustentar, presente evidencia documental vigente de Colombian Mint, tales como: GTI-GU05 (Plan de Contingencia Tecnológica), GPE-GU01 (Plan de Continuidad de Negocio)?</t>
  </si>
  <si>
    <t>¿Realiza pruebas a las contingencias establecidas en el plan. ¿Qué registros o documentos (GTI-GU05 (Plan de Contingencia Tecnológica), GPE-GU01 (Plan de Continuidad de Negocio)) demuestran el cumplimiento de lo solicitado?</t>
  </si>
  <si>
    <t>¿Cuenta con una matriz de riesgos de tecnológicos. ¿Qué registros o documentos (GPE-GU01 (Plan de Continuidad de Negocio), GTI-GU05 (Plan de Contingencia Tecnológica)) demuestran el cumplimiento de lo solicitado?</t>
  </si>
  <si>
    <t>¿Cuenta con un procedimiento de copias de seguridad o respaldo? Indique la ubicación e identificación con la que se caracteriza en el SGD. Para sustentar, presente evidencia documental vigente de Colombian Mint, tales como: GTI-PR01 (Procedimiento Gestión de Tecnología e Informática), GPE-GU01 (Plan de Continuidad de Negocio)?</t>
  </si>
  <si>
    <t>¿Con cuántos canales de comunicaciones cuenta? ¿Cuáles son. ¿Qué registros o documentos (GPE-GU01 (Plan de Continuidad de Negocio), GTI-GU05 (Plan de Contingencia Tecnológica)) demuestran el cumplimiento de lo solicitado?</t>
  </si>
  <si>
    <t>¿Realiza mantenimientos preventivos y correctivos al sistema eléctrico y sistema de climatización del centro de cómputo? ¿Con que frecuencia. ¿Qué registros o documentos (GPE-GU01 (Plan de Continuidad de Negocio), GTI-GU05 (Plan de Contingencia Tecnológica)) demuestran el cumplimiento de lo solicitado?</t>
  </si>
  <si>
    <t>¿Relacione las evidencias de implementación: • Documento de plan de continuidad del negocio. • Documento del plan de contingencia tecnológica o plan de recuperación de desastres DRP. • Informe de las pruebas realizadas a las contingencias establecidas en el plan. • Matriz de riesgos tecnológicos • Documento del procedimiento de copias de seguridad o respaldo. • Contratos con los proveedores de canales de comunicaciones. • Cronograma y reportes de mantenimientos preventivos y correctivos. Para sustentar, presente evidencia documental vigente de Colombian Mint, tales como: GPE-GU01 (Plan de Continuidad de Negocio), GTI-GU05 (Plan de Contingencia Tecnológica)?</t>
  </si>
  <si>
    <t>¿según criterios de auditoría OEA (ISO 19011) para el requisito OEA 8.5: Plan de contingencia y recuperación ante desastres (BCP/DRP). ¿Qué evidencia objetiva presenta el auditado? Documentos de referencia: GTI-GU05 (Plan de Contingencia Tecnológica), GPE-GU01 (Plan de Continuidad de Negocio)?</t>
  </si>
  <si>
    <t>¿Verifique el documento GTI-IN02 (Estándar parametrización y administración de Acronis). ¿Está vigente, identificado en el SGD, aprobado por la autoridad competente y en aplicación para el requisito OEA 8.5?</t>
  </si>
  <si>
    <t>OEA 8.6</t>
  </si>
  <si>
    <t>Debe tener un lugar físico definido en donde se desarrolle la actividad informática con las medidas de seguridad apropiadas que garanticen el acceso solo a personal autorizado.</t>
  </si>
  <si>
    <t>¿Cuenta con un espacio físico reservado y destinado para su centro de cómputo. ¿Qué registros o documentos (GTI-GU02 (Política del centro de cómputo), GTI-FR03 (Formato Auditoría Seguridad de la Información)) demuestran el cumplimiento de lo solicitado?</t>
  </si>
  <si>
    <t>¿Relacione las evidencias de implementación: • Un informe que contenga evidencias de controles de seguridad del centro de cómputo (controles de acceso, sistemas detección y extinción de incendios, sistema de climatización, sensores de temperatura, sistema de vigilancia con cámaras). ¿Qué registros o documentos (GTI-GU02 (Política del centro de cómputo), GTI-FR03 (Formato Auditoría Seguridad de la Información)) demuestran el cumplimiento de lo solicitado?</t>
  </si>
  <si>
    <t>¿según criterios de auditoría OEA (ISO 19011) para el requisito OEA 8.6: Plano del centro de cómputo. ¿Qué evidencia objetiva presenta el auditado? Documentos de referencia: GTI-GU02 (Política del centro de cómputo), GTI-FR03 (Formato Auditoría Seguridad de la Información)?</t>
  </si>
  <si>
    <t>¿según criterios de auditoría OEA (ISO 19011) para el requisito OEA 8.6: Procedimientos de control de acceso físico. ¿Qué evidencia objetiva presenta el auditado? Documentos de referencia: SRF-FR19 (Control Novedades Tarjetas de Acceso), GTI-FR03 (Formato Auditoría Seguridad de la Información)?</t>
  </si>
  <si>
    <t>¿Verifique el documento GTI-MT01 (Matriz de Inventario de Equipos). ¿Está vigente, identificado en el SGD, aprobado por la autoridad competente y en aplicación para el requisito OEA 8.6?</t>
  </si>
  <si>
    <t>¿Verifique el documento SRF-FR08 (Control de ingreso áreas críticas). ¿Está vigente, identificado en el SGD, aprobado por la autoridad competente y en aplicación para el requisito OEA 8.6?</t>
  </si>
  <si>
    <t>¿El requisito OEA 8.6 exige: "Debe tener un lugar físico definido en donde se desarrolle la actividad informática con las medidas de seguridad apropiadas que garanticen el acceso solo a personal autorizado." ¿Qué controles operativos y registros demuestran su cumplimiento sostenido en Colombian Mint?</t>
  </si>
  <si>
    <t>¿El personal entrevistado conoce los requisitos de OEA 8.6 y su responsabilidad en el cumplimiento? Solicite evidencia de socialización, inducción o capacitación?</t>
  </si>
  <si>
    <t>¿Existen indicadores o métricas definidos para verificar la eficacia de los controles del requisito OEA 8.6? Presente resultados del último periodo evaluado?</t>
  </si>
  <si>
    <t>¿Se han realizado revisiones por la dirección, auditorías internas o inspecciones sobre el requisito OEA 8.6 en los últimos 12 meses?</t>
  </si>
  <si>
    <t>¿Indique las instalaciones donde se recibe e inspecciona la carga, ya sean propias o de su asociado de negocio, incluyendo aquellas destinadas a servicios de desconsolidación e ITR. Para sustentar, presente evidencia documental vigente de Colombian Mint, tales como: GTI-GU01 (Política de Seguridad de la Información), GTI-GU04 (Guía para la Identificación y Reporte de Incidentes de Seguridad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</si>
</sst>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749E8-3BE2-41EF-9957-DD55E6AE40D3}" name="Tabla1" displayName="Tabla1" ref="A1:E71" totalsRowShown="0" headerRowDxfId="1" dataDxfId="0" headerRowBorderDxfId="7" tableBorderDxfId="8">
  <autoFilter ref="A1:E71" xr:uid="{270749E8-3BE2-41EF-9957-DD55E6AE40D3}"/>
  <tableColumns count="5">
    <tableColumn id="1" xr3:uid="{CDD80FBA-A3D7-4285-A0FB-74D74A4C253E}" name="Requisito" dataDxfId="6"/>
    <tableColumn id="2" xr3:uid="{52099B99-8F6F-4A01-953C-89664643628F}" name="Proceso" dataDxfId="5"/>
    <tableColumn id="3" xr3:uid="{E1CA54F8-9B2C-426C-98B0-E53CB0EA90AD}" name="Responsable" dataDxfId="4">
      <calculatedColumnFormula>+LISTADO!$H$7</calculatedColumnFormula>
    </tableColumn>
    <tableColumn id="4" xr3:uid="{4D7E092D-A932-4A55-BACA-9570EACE05B6}" name="Descripción del requisito" dataDxfId="3"/>
    <tableColumn id="5" xr3:uid="{4A3A3817-360A-4041-BB12-D5100A8EDA8A}"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abSelected="1"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1"/>
  <sheetViews>
    <sheetView topLeftCell="B65" workbookViewId="0">
      <selection activeCell="E2" sqref="E2"/>
    </sheetView>
  </sheetViews>
  <sheetFormatPr baseColWidth="10" defaultColWidth="9.140625" defaultRowHeight="15" x14ac:dyDescent="0.25"/>
  <cols>
    <col min="1" max="1" width="9.7109375" customWidth="1"/>
    <col min="2" max="2" width="13.28515625" customWidth="1"/>
    <col min="3" max="3" width="15.28515625" customWidth="1"/>
    <col min="4" max="4" width="69.42578125" customWidth="1"/>
    <col min="5" max="5" width="115.7109375" customWidth="1"/>
  </cols>
  <sheetData>
    <row r="1" spans="1:5" x14ac:dyDescent="0.25">
      <c r="A1" s="48" t="s">
        <v>40</v>
      </c>
      <c r="B1" s="48" t="s">
        <v>41</v>
      </c>
      <c r="C1" s="48" t="s">
        <v>42</v>
      </c>
      <c r="D1" s="48" t="s">
        <v>43</v>
      </c>
      <c r="E1" s="49" t="s">
        <v>44</v>
      </c>
    </row>
    <row r="2" spans="1:5" ht="60" x14ac:dyDescent="0.25">
      <c r="A2" s="50" t="s">
        <v>45</v>
      </c>
      <c r="B2" s="50" t="s">
        <v>9</v>
      </c>
      <c r="C2" s="50" t="str">
        <f>+LISTADO!$H$7</f>
        <v>Javier Tabares / Alexis Cuello</v>
      </c>
      <c r="D2" s="50" t="s">
        <v>46</v>
      </c>
      <c r="E2" s="50" t="s">
        <v>128</v>
      </c>
    </row>
    <row r="3" spans="1:5" ht="90" x14ac:dyDescent="0.25">
      <c r="A3" s="50" t="s">
        <v>45</v>
      </c>
      <c r="B3" s="50" t="s">
        <v>9</v>
      </c>
      <c r="C3" s="50" t="str">
        <f>+LISTADO!$H$7</f>
        <v>Javier Tabares / Alexis Cuello</v>
      </c>
      <c r="D3" s="50" t="s">
        <v>46</v>
      </c>
      <c r="E3" s="50" t="s">
        <v>47</v>
      </c>
    </row>
    <row r="4" spans="1:5" ht="45" x14ac:dyDescent="0.25">
      <c r="A4" s="50" t="s">
        <v>45</v>
      </c>
      <c r="B4" s="50" t="s">
        <v>9</v>
      </c>
      <c r="C4" s="50" t="str">
        <f>+LISTADO!$H$7</f>
        <v>Javier Tabares / Alexis Cuello</v>
      </c>
      <c r="D4" s="50" t="s">
        <v>46</v>
      </c>
      <c r="E4" s="50" t="s">
        <v>48</v>
      </c>
    </row>
    <row r="5" spans="1:5" ht="75" x14ac:dyDescent="0.25">
      <c r="A5" s="50" t="s">
        <v>45</v>
      </c>
      <c r="B5" s="50" t="s">
        <v>9</v>
      </c>
      <c r="C5" s="50" t="str">
        <f>+LISTADO!$H$7</f>
        <v>Javier Tabares / Alexis Cuello</v>
      </c>
      <c r="D5" s="50" t="s">
        <v>46</v>
      </c>
      <c r="E5" s="50" t="s">
        <v>49</v>
      </c>
    </row>
    <row r="6" spans="1:5" ht="105" x14ac:dyDescent="0.25">
      <c r="A6" s="50" t="s">
        <v>45</v>
      </c>
      <c r="B6" s="50" t="s">
        <v>9</v>
      </c>
      <c r="C6" s="50" t="str">
        <f>+LISTADO!$H$7</f>
        <v>Javier Tabares / Alexis Cuello</v>
      </c>
      <c r="D6" s="50" t="s">
        <v>46</v>
      </c>
      <c r="E6" s="50" t="s">
        <v>50</v>
      </c>
    </row>
    <row r="7" spans="1:5" ht="45" x14ac:dyDescent="0.25">
      <c r="A7" s="50" t="s">
        <v>45</v>
      </c>
      <c r="B7" s="50" t="s">
        <v>9</v>
      </c>
      <c r="C7" s="50" t="str">
        <f>+LISTADO!$H$7</f>
        <v>Javier Tabares / Alexis Cuello</v>
      </c>
      <c r="D7" s="50" t="s">
        <v>46</v>
      </c>
      <c r="E7" s="50" t="s">
        <v>51</v>
      </c>
    </row>
    <row r="8" spans="1:5" ht="45" x14ac:dyDescent="0.25">
      <c r="A8" s="50" t="s">
        <v>45</v>
      </c>
      <c r="B8" s="50" t="s">
        <v>9</v>
      </c>
      <c r="C8" s="50" t="str">
        <f>+LISTADO!$H$7</f>
        <v>Javier Tabares / Alexis Cuello</v>
      </c>
      <c r="D8" s="50" t="s">
        <v>46</v>
      </c>
      <c r="E8" s="50" t="s">
        <v>52</v>
      </c>
    </row>
    <row r="9" spans="1:5" ht="45" x14ac:dyDescent="0.25">
      <c r="A9" s="50" t="s">
        <v>45</v>
      </c>
      <c r="B9" s="50" t="s">
        <v>9</v>
      </c>
      <c r="C9" s="50" t="str">
        <f>+LISTADO!$H$7</f>
        <v>Javier Tabares / Alexis Cuello</v>
      </c>
      <c r="D9" s="50" t="s">
        <v>46</v>
      </c>
      <c r="E9" s="50" t="s">
        <v>53</v>
      </c>
    </row>
    <row r="10" spans="1:5" ht="45" x14ac:dyDescent="0.25">
      <c r="A10" s="50" t="s">
        <v>45</v>
      </c>
      <c r="B10" s="50" t="s">
        <v>9</v>
      </c>
      <c r="C10" s="50" t="str">
        <f>+LISTADO!$H$7</f>
        <v>Javier Tabares / Alexis Cuello</v>
      </c>
      <c r="D10" s="50" t="s">
        <v>46</v>
      </c>
      <c r="E10" s="50" t="s">
        <v>54</v>
      </c>
    </row>
    <row r="11" spans="1:5" ht="45" x14ac:dyDescent="0.25">
      <c r="A11" s="50" t="s">
        <v>45</v>
      </c>
      <c r="B11" s="50" t="s">
        <v>9</v>
      </c>
      <c r="C11" s="50" t="str">
        <f>+LISTADO!$H$7</f>
        <v>Javier Tabares / Alexis Cuello</v>
      </c>
      <c r="D11" s="50" t="s">
        <v>46</v>
      </c>
      <c r="E11" s="50" t="s">
        <v>55</v>
      </c>
    </row>
    <row r="12" spans="1:5" ht="60" x14ac:dyDescent="0.25">
      <c r="A12" s="50" t="s">
        <v>56</v>
      </c>
      <c r="B12" s="50" t="s">
        <v>9</v>
      </c>
      <c r="C12" s="50" t="str">
        <f>+LISTADO!$H$7</f>
        <v>Javier Tabares / Alexis Cuello</v>
      </c>
      <c r="D12" s="50" t="s">
        <v>57</v>
      </c>
      <c r="E12" s="50" t="s">
        <v>58</v>
      </c>
    </row>
    <row r="13" spans="1:5" ht="60" x14ac:dyDescent="0.25">
      <c r="A13" s="50" t="s">
        <v>56</v>
      </c>
      <c r="B13" s="50" t="s">
        <v>9</v>
      </c>
      <c r="C13" s="50" t="str">
        <f>+LISTADO!$H$7</f>
        <v>Javier Tabares / Alexis Cuello</v>
      </c>
      <c r="D13" s="50" t="s">
        <v>57</v>
      </c>
      <c r="E13" s="50" t="s">
        <v>59</v>
      </c>
    </row>
    <row r="14" spans="1:5" ht="75" x14ac:dyDescent="0.25">
      <c r="A14" s="50" t="s">
        <v>56</v>
      </c>
      <c r="B14" s="50" t="s">
        <v>9</v>
      </c>
      <c r="C14" s="50" t="str">
        <f>+LISTADO!$H$7</f>
        <v>Javier Tabares / Alexis Cuello</v>
      </c>
      <c r="D14" s="50" t="s">
        <v>57</v>
      </c>
      <c r="E14" s="50" t="s">
        <v>60</v>
      </c>
    </row>
    <row r="15" spans="1:5" ht="60" x14ac:dyDescent="0.25">
      <c r="A15" s="50" t="s">
        <v>56</v>
      </c>
      <c r="B15" s="50" t="s">
        <v>9</v>
      </c>
      <c r="C15" s="50" t="str">
        <f>+LISTADO!$H$7</f>
        <v>Javier Tabares / Alexis Cuello</v>
      </c>
      <c r="D15" s="50" t="s">
        <v>57</v>
      </c>
      <c r="E15" s="50" t="s">
        <v>61</v>
      </c>
    </row>
    <row r="16" spans="1:5" ht="60" x14ac:dyDescent="0.25">
      <c r="A16" s="50" t="s">
        <v>56</v>
      </c>
      <c r="B16" s="50" t="s">
        <v>9</v>
      </c>
      <c r="C16" s="50" t="str">
        <f>+LISTADO!$H$7</f>
        <v>Javier Tabares / Alexis Cuello</v>
      </c>
      <c r="D16" s="50" t="s">
        <v>57</v>
      </c>
      <c r="E16" s="50" t="s">
        <v>62</v>
      </c>
    </row>
    <row r="17" spans="1:5" ht="45" x14ac:dyDescent="0.25">
      <c r="A17" s="50" t="s">
        <v>56</v>
      </c>
      <c r="B17" s="50" t="s">
        <v>9</v>
      </c>
      <c r="C17" s="50" t="str">
        <f>+LISTADO!$H$7</f>
        <v>Javier Tabares / Alexis Cuello</v>
      </c>
      <c r="D17" s="50" t="s">
        <v>57</v>
      </c>
      <c r="E17" s="50" t="s">
        <v>63</v>
      </c>
    </row>
    <row r="18" spans="1:5" ht="45" x14ac:dyDescent="0.25">
      <c r="A18" s="50" t="s">
        <v>56</v>
      </c>
      <c r="B18" s="50" t="s">
        <v>9</v>
      </c>
      <c r="C18" s="50" t="str">
        <f>+LISTADO!$H$7</f>
        <v>Javier Tabares / Alexis Cuello</v>
      </c>
      <c r="D18" s="50" t="s">
        <v>57</v>
      </c>
      <c r="E18" s="50" t="s">
        <v>64</v>
      </c>
    </row>
    <row r="19" spans="1:5" ht="45" x14ac:dyDescent="0.25">
      <c r="A19" s="50" t="s">
        <v>56</v>
      </c>
      <c r="B19" s="50" t="s">
        <v>9</v>
      </c>
      <c r="C19" s="50" t="str">
        <f>+LISTADO!$H$7</f>
        <v>Javier Tabares / Alexis Cuello</v>
      </c>
      <c r="D19" s="50" t="s">
        <v>57</v>
      </c>
      <c r="E19" s="50" t="s">
        <v>65</v>
      </c>
    </row>
    <row r="20" spans="1:5" ht="45" x14ac:dyDescent="0.25">
      <c r="A20" s="50" t="s">
        <v>56</v>
      </c>
      <c r="B20" s="50" t="s">
        <v>9</v>
      </c>
      <c r="C20" s="50" t="str">
        <f>+LISTADO!$H$7</f>
        <v>Javier Tabares / Alexis Cuello</v>
      </c>
      <c r="D20" s="50" t="s">
        <v>57</v>
      </c>
      <c r="E20" s="50" t="s">
        <v>66</v>
      </c>
    </row>
    <row r="21" spans="1:5" ht="30" x14ac:dyDescent="0.25">
      <c r="A21" s="50" t="s">
        <v>56</v>
      </c>
      <c r="B21" s="50" t="s">
        <v>9</v>
      </c>
      <c r="C21" s="50" t="str">
        <f>+LISTADO!$H$7</f>
        <v>Javier Tabares / Alexis Cuello</v>
      </c>
      <c r="D21" s="50" t="s">
        <v>57</v>
      </c>
      <c r="E21" s="50" t="s">
        <v>67</v>
      </c>
    </row>
    <row r="22" spans="1:5" ht="105" x14ac:dyDescent="0.25">
      <c r="A22" s="50" t="s">
        <v>68</v>
      </c>
      <c r="B22" s="50" t="s">
        <v>9</v>
      </c>
      <c r="C22" s="50" t="str">
        <f>+LISTADO!$H$7</f>
        <v>Javier Tabares / Alexis Cuello</v>
      </c>
      <c r="D22" s="50" t="s">
        <v>69</v>
      </c>
      <c r="E22" s="50" t="s">
        <v>70</v>
      </c>
    </row>
    <row r="23" spans="1:5" ht="150" x14ac:dyDescent="0.25">
      <c r="A23" s="50" t="s">
        <v>68</v>
      </c>
      <c r="B23" s="50" t="s">
        <v>9</v>
      </c>
      <c r="C23" s="50" t="str">
        <f>+LISTADO!$H$7</f>
        <v>Javier Tabares / Alexis Cuello</v>
      </c>
      <c r="D23" s="50" t="s">
        <v>69</v>
      </c>
      <c r="E23" s="50" t="s">
        <v>71</v>
      </c>
    </row>
    <row r="24" spans="1:5" ht="150" x14ac:dyDescent="0.25">
      <c r="A24" s="50" t="s">
        <v>68</v>
      </c>
      <c r="B24" s="50" t="s">
        <v>9</v>
      </c>
      <c r="C24" s="50" t="str">
        <f>+LISTADO!$H$7</f>
        <v>Javier Tabares / Alexis Cuello</v>
      </c>
      <c r="D24" s="50" t="s">
        <v>69</v>
      </c>
      <c r="E24" s="50" t="s">
        <v>72</v>
      </c>
    </row>
    <row r="25" spans="1:5" ht="105" x14ac:dyDescent="0.25">
      <c r="A25" s="50" t="s">
        <v>68</v>
      </c>
      <c r="B25" s="50" t="s">
        <v>9</v>
      </c>
      <c r="C25" s="50" t="str">
        <f>+LISTADO!$H$7</f>
        <v>Javier Tabares / Alexis Cuello</v>
      </c>
      <c r="D25" s="50" t="s">
        <v>69</v>
      </c>
      <c r="E25" s="50" t="s">
        <v>73</v>
      </c>
    </row>
    <row r="26" spans="1:5" ht="105" x14ac:dyDescent="0.25">
      <c r="A26" s="50" t="s">
        <v>68</v>
      </c>
      <c r="B26" s="50" t="s">
        <v>9</v>
      </c>
      <c r="C26" s="50" t="str">
        <f>+LISTADO!$H$7</f>
        <v>Javier Tabares / Alexis Cuello</v>
      </c>
      <c r="D26" s="50" t="s">
        <v>69</v>
      </c>
      <c r="E26" s="50" t="s">
        <v>74</v>
      </c>
    </row>
    <row r="27" spans="1:5" ht="105" x14ac:dyDescent="0.25">
      <c r="A27" s="50" t="s">
        <v>68</v>
      </c>
      <c r="B27" s="50" t="s">
        <v>9</v>
      </c>
      <c r="C27" s="50" t="str">
        <f>+LISTADO!$H$7</f>
        <v>Javier Tabares / Alexis Cuello</v>
      </c>
      <c r="D27" s="50" t="s">
        <v>69</v>
      </c>
      <c r="E27" s="50" t="s">
        <v>75</v>
      </c>
    </row>
    <row r="28" spans="1:5" ht="105" x14ac:dyDescent="0.25">
      <c r="A28" s="50" t="s">
        <v>68</v>
      </c>
      <c r="B28" s="50" t="s">
        <v>9</v>
      </c>
      <c r="C28" s="50" t="str">
        <f>+LISTADO!$H$7</f>
        <v>Javier Tabares / Alexis Cuello</v>
      </c>
      <c r="D28" s="50" t="s">
        <v>69</v>
      </c>
      <c r="E28" s="50" t="s">
        <v>76</v>
      </c>
    </row>
    <row r="29" spans="1:5" ht="105" x14ac:dyDescent="0.25">
      <c r="A29" s="50" t="s">
        <v>68</v>
      </c>
      <c r="B29" s="50" t="s">
        <v>9</v>
      </c>
      <c r="C29" s="50" t="str">
        <f>+LISTADO!$H$7</f>
        <v>Javier Tabares / Alexis Cuello</v>
      </c>
      <c r="D29" s="50" t="s">
        <v>69</v>
      </c>
      <c r="E29" s="50" t="s">
        <v>77</v>
      </c>
    </row>
    <row r="30" spans="1:5" ht="105" x14ac:dyDescent="0.25">
      <c r="A30" s="50" t="s">
        <v>68</v>
      </c>
      <c r="B30" s="50" t="s">
        <v>9</v>
      </c>
      <c r="C30" s="50" t="str">
        <f>+LISTADO!$H$7</f>
        <v>Javier Tabares / Alexis Cuello</v>
      </c>
      <c r="D30" s="50" t="s">
        <v>69</v>
      </c>
      <c r="E30" s="50" t="s">
        <v>78</v>
      </c>
    </row>
    <row r="31" spans="1:5" ht="105" x14ac:dyDescent="0.25">
      <c r="A31" s="50" t="s">
        <v>68</v>
      </c>
      <c r="B31" s="50" t="s">
        <v>9</v>
      </c>
      <c r="C31" s="50" t="str">
        <f>+LISTADO!$H$7</f>
        <v>Javier Tabares / Alexis Cuello</v>
      </c>
      <c r="D31" s="50" t="s">
        <v>69</v>
      </c>
      <c r="E31" s="50" t="s">
        <v>79</v>
      </c>
    </row>
    <row r="32" spans="1:5" ht="45" x14ac:dyDescent="0.25">
      <c r="A32" s="50" t="s">
        <v>80</v>
      </c>
      <c r="B32" s="50" t="s">
        <v>9</v>
      </c>
      <c r="C32" s="50" t="str">
        <f>+LISTADO!$H$7</f>
        <v>Javier Tabares / Alexis Cuello</v>
      </c>
      <c r="D32" s="50" t="s">
        <v>81</v>
      </c>
      <c r="E32" s="50" t="s">
        <v>82</v>
      </c>
    </row>
    <row r="33" spans="1:5" ht="45" x14ac:dyDescent="0.25">
      <c r="A33" s="50" t="s">
        <v>80</v>
      </c>
      <c r="B33" s="50" t="s">
        <v>9</v>
      </c>
      <c r="C33" s="50" t="str">
        <f>+LISTADO!$H$7</f>
        <v>Javier Tabares / Alexis Cuello</v>
      </c>
      <c r="D33" s="50" t="s">
        <v>81</v>
      </c>
      <c r="E33" s="50" t="s">
        <v>83</v>
      </c>
    </row>
    <row r="34" spans="1:5" ht="75" x14ac:dyDescent="0.25">
      <c r="A34" s="50" t="s">
        <v>80</v>
      </c>
      <c r="B34" s="50" t="s">
        <v>9</v>
      </c>
      <c r="C34" s="50" t="str">
        <f>+LISTADO!$H$7</f>
        <v>Javier Tabares / Alexis Cuello</v>
      </c>
      <c r="D34" s="50" t="s">
        <v>81</v>
      </c>
      <c r="E34" s="50" t="s">
        <v>84</v>
      </c>
    </row>
    <row r="35" spans="1:5" ht="45" x14ac:dyDescent="0.25">
      <c r="A35" s="50" t="s">
        <v>80</v>
      </c>
      <c r="B35" s="50" t="s">
        <v>9</v>
      </c>
      <c r="C35" s="50" t="str">
        <f>+LISTADO!$H$7</f>
        <v>Javier Tabares / Alexis Cuello</v>
      </c>
      <c r="D35" s="50" t="s">
        <v>81</v>
      </c>
      <c r="E35" s="50" t="s">
        <v>85</v>
      </c>
    </row>
    <row r="36" spans="1:5" ht="45" x14ac:dyDescent="0.25">
      <c r="A36" s="50" t="s">
        <v>80</v>
      </c>
      <c r="B36" s="50" t="s">
        <v>9</v>
      </c>
      <c r="C36" s="50" t="str">
        <f>+LISTADO!$H$7</f>
        <v>Javier Tabares / Alexis Cuello</v>
      </c>
      <c r="D36" s="50" t="s">
        <v>81</v>
      </c>
      <c r="E36" s="50" t="s">
        <v>86</v>
      </c>
    </row>
    <row r="37" spans="1:5" ht="45" x14ac:dyDescent="0.25">
      <c r="A37" s="50" t="s">
        <v>80</v>
      </c>
      <c r="B37" s="50" t="s">
        <v>9</v>
      </c>
      <c r="C37" s="50" t="str">
        <f>+LISTADO!$H$7</f>
        <v>Javier Tabares / Alexis Cuello</v>
      </c>
      <c r="D37" s="50" t="s">
        <v>81</v>
      </c>
      <c r="E37" s="50" t="s">
        <v>87</v>
      </c>
    </row>
    <row r="38" spans="1:5" ht="45" x14ac:dyDescent="0.25">
      <c r="A38" s="50" t="s">
        <v>80</v>
      </c>
      <c r="B38" s="50" t="s">
        <v>9</v>
      </c>
      <c r="C38" s="50" t="str">
        <f>+LISTADO!$H$7</f>
        <v>Javier Tabares / Alexis Cuello</v>
      </c>
      <c r="D38" s="50" t="s">
        <v>81</v>
      </c>
      <c r="E38" s="50" t="s">
        <v>88</v>
      </c>
    </row>
    <row r="39" spans="1:5" ht="45" x14ac:dyDescent="0.25">
      <c r="A39" s="50" t="s">
        <v>80</v>
      </c>
      <c r="B39" s="50" t="s">
        <v>9</v>
      </c>
      <c r="C39" s="50" t="str">
        <f>+LISTADO!$H$7</f>
        <v>Javier Tabares / Alexis Cuello</v>
      </c>
      <c r="D39" s="50" t="s">
        <v>81</v>
      </c>
      <c r="E39" s="50" t="s">
        <v>89</v>
      </c>
    </row>
    <row r="40" spans="1:5" ht="45" x14ac:dyDescent="0.25">
      <c r="A40" s="50" t="s">
        <v>80</v>
      </c>
      <c r="B40" s="50" t="s">
        <v>9</v>
      </c>
      <c r="C40" s="50" t="str">
        <f>+LISTADO!$H$7</f>
        <v>Javier Tabares / Alexis Cuello</v>
      </c>
      <c r="D40" s="50" t="s">
        <v>81</v>
      </c>
      <c r="E40" s="50" t="s">
        <v>90</v>
      </c>
    </row>
    <row r="41" spans="1:5" ht="45" x14ac:dyDescent="0.25">
      <c r="A41" s="50" t="s">
        <v>80</v>
      </c>
      <c r="B41" s="50" t="s">
        <v>9</v>
      </c>
      <c r="C41" s="50" t="str">
        <f>+LISTADO!$H$7</f>
        <v>Javier Tabares / Alexis Cuello</v>
      </c>
      <c r="D41" s="50" t="s">
        <v>81</v>
      </c>
      <c r="E41" s="50" t="s">
        <v>91</v>
      </c>
    </row>
    <row r="42" spans="1:5" ht="60" x14ac:dyDescent="0.25">
      <c r="A42" s="50" t="s">
        <v>92</v>
      </c>
      <c r="B42" s="50" t="s">
        <v>9</v>
      </c>
      <c r="C42" s="50" t="str">
        <f>+LISTADO!$H$7</f>
        <v>Javier Tabares / Alexis Cuello</v>
      </c>
      <c r="D42" s="50" t="s">
        <v>93</v>
      </c>
      <c r="E42" s="50" t="s">
        <v>94</v>
      </c>
    </row>
    <row r="43" spans="1:5" ht="60" x14ac:dyDescent="0.25">
      <c r="A43" s="50" t="s">
        <v>92</v>
      </c>
      <c r="B43" s="50" t="s">
        <v>9</v>
      </c>
      <c r="C43" s="50" t="str">
        <f>+LISTADO!$H$7</f>
        <v>Javier Tabares / Alexis Cuello</v>
      </c>
      <c r="D43" s="50" t="s">
        <v>93</v>
      </c>
      <c r="E43" s="50" t="s">
        <v>95</v>
      </c>
    </row>
    <row r="44" spans="1:5" ht="75" x14ac:dyDescent="0.25">
      <c r="A44" s="50" t="s">
        <v>92</v>
      </c>
      <c r="B44" s="50" t="s">
        <v>9</v>
      </c>
      <c r="C44" s="50" t="str">
        <f>+LISTADO!$H$7</f>
        <v>Javier Tabares / Alexis Cuello</v>
      </c>
      <c r="D44" s="50" t="s">
        <v>93</v>
      </c>
      <c r="E44" s="50" t="s">
        <v>96</v>
      </c>
    </row>
    <row r="45" spans="1:5" ht="60" x14ac:dyDescent="0.25">
      <c r="A45" s="50" t="s">
        <v>92</v>
      </c>
      <c r="B45" s="50" t="s">
        <v>9</v>
      </c>
      <c r="C45" s="50" t="str">
        <f>+LISTADO!$H$7</f>
        <v>Javier Tabares / Alexis Cuello</v>
      </c>
      <c r="D45" s="50" t="s">
        <v>93</v>
      </c>
      <c r="E45" s="50" t="s">
        <v>97</v>
      </c>
    </row>
    <row r="46" spans="1:5" ht="60" x14ac:dyDescent="0.25">
      <c r="A46" s="50" t="s">
        <v>92</v>
      </c>
      <c r="B46" s="50" t="s">
        <v>9</v>
      </c>
      <c r="C46" s="50" t="str">
        <f>+LISTADO!$H$7</f>
        <v>Javier Tabares / Alexis Cuello</v>
      </c>
      <c r="D46" s="50" t="s">
        <v>93</v>
      </c>
      <c r="E46" s="50" t="s">
        <v>98</v>
      </c>
    </row>
    <row r="47" spans="1:5" ht="45" x14ac:dyDescent="0.25">
      <c r="A47" s="50" t="s">
        <v>92</v>
      </c>
      <c r="B47" s="50" t="s">
        <v>9</v>
      </c>
      <c r="C47" s="50" t="str">
        <f>+LISTADO!$H$7</f>
        <v>Javier Tabares / Alexis Cuello</v>
      </c>
      <c r="D47" s="50" t="s">
        <v>93</v>
      </c>
      <c r="E47" s="50" t="s">
        <v>99</v>
      </c>
    </row>
    <row r="48" spans="1:5" ht="45" x14ac:dyDescent="0.25">
      <c r="A48" s="50" t="s">
        <v>92</v>
      </c>
      <c r="B48" s="50" t="s">
        <v>9</v>
      </c>
      <c r="C48" s="50" t="str">
        <f>+LISTADO!$H$7</f>
        <v>Javier Tabares / Alexis Cuello</v>
      </c>
      <c r="D48" s="50" t="s">
        <v>93</v>
      </c>
      <c r="E48" s="50" t="s">
        <v>100</v>
      </c>
    </row>
    <row r="49" spans="1:5" ht="45" x14ac:dyDescent="0.25">
      <c r="A49" s="50" t="s">
        <v>92</v>
      </c>
      <c r="B49" s="50" t="s">
        <v>9</v>
      </c>
      <c r="C49" s="50" t="str">
        <f>+LISTADO!$H$7</f>
        <v>Javier Tabares / Alexis Cuello</v>
      </c>
      <c r="D49" s="50" t="s">
        <v>93</v>
      </c>
      <c r="E49" s="50" t="s">
        <v>101</v>
      </c>
    </row>
    <row r="50" spans="1:5" ht="45" x14ac:dyDescent="0.25">
      <c r="A50" s="50" t="s">
        <v>92</v>
      </c>
      <c r="B50" s="50" t="s">
        <v>9</v>
      </c>
      <c r="C50" s="50" t="str">
        <f>+LISTADO!$H$7</f>
        <v>Javier Tabares / Alexis Cuello</v>
      </c>
      <c r="D50" s="50" t="s">
        <v>93</v>
      </c>
      <c r="E50" s="50" t="s">
        <v>102</v>
      </c>
    </row>
    <row r="51" spans="1:5" ht="45" x14ac:dyDescent="0.25">
      <c r="A51" s="50" t="s">
        <v>92</v>
      </c>
      <c r="B51" s="50" t="s">
        <v>9</v>
      </c>
      <c r="C51" s="50" t="str">
        <f>+LISTADO!$H$7</f>
        <v>Javier Tabares / Alexis Cuello</v>
      </c>
      <c r="D51" s="50" t="s">
        <v>93</v>
      </c>
      <c r="E51" s="50" t="s">
        <v>103</v>
      </c>
    </row>
    <row r="52" spans="1:5" ht="45" x14ac:dyDescent="0.25">
      <c r="A52" s="50" t="s">
        <v>104</v>
      </c>
      <c r="B52" s="50" t="s">
        <v>9</v>
      </c>
      <c r="C52" s="50" t="str">
        <f>+LISTADO!$H$7</f>
        <v>Javier Tabares / Alexis Cuello</v>
      </c>
      <c r="D52" s="50" t="s">
        <v>105</v>
      </c>
      <c r="E52" s="50" t="s">
        <v>106</v>
      </c>
    </row>
    <row r="53" spans="1:5" ht="45" x14ac:dyDescent="0.25">
      <c r="A53" s="50" t="s">
        <v>104</v>
      </c>
      <c r="B53" s="50" t="s">
        <v>9</v>
      </c>
      <c r="C53" s="50" t="str">
        <f>+LISTADO!$H$7</f>
        <v>Javier Tabares / Alexis Cuello</v>
      </c>
      <c r="D53" s="50" t="s">
        <v>105</v>
      </c>
      <c r="E53" s="50" t="s">
        <v>107</v>
      </c>
    </row>
    <row r="54" spans="1:5" ht="30" x14ac:dyDescent="0.25">
      <c r="A54" s="50" t="s">
        <v>104</v>
      </c>
      <c r="B54" s="50" t="s">
        <v>9</v>
      </c>
      <c r="C54" s="50" t="str">
        <f>+LISTADO!$H$7</f>
        <v>Javier Tabares / Alexis Cuello</v>
      </c>
      <c r="D54" s="50" t="s">
        <v>105</v>
      </c>
      <c r="E54" s="50" t="s">
        <v>108</v>
      </c>
    </row>
    <row r="55" spans="1:5" ht="30" x14ac:dyDescent="0.25">
      <c r="A55" s="50" t="s">
        <v>104</v>
      </c>
      <c r="B55" s="50" t="s">
        <v>9</v>
      </c>
      <c r="C55" s="50" t="str">
        <f>+LISTADO!$H$7</f>
        <v>Javier Tabares / Alexis Cuello</v>
      </c>
      <c r="D55" s="50" t="s">
        <v>105</v>
      </c>
      <c r="E55" s="50" t="s">
        <v>109</v>
      </c>
    </row>
    <row r="56" spans="1:5" ht="45" x14ac:dyDescent="0.25">
      <c r="A56" s="50" t="s">
        <v>104</v>
      </c>
      <c r="B56" s="50" t="s">
        <v>9</v>
      </c>
      <c r="C56" s="50" t="str">
        <f>+LISTADO!$H$7</f>
        <v>Javier Tabares / Alexis Cuello</v>
      </c>
      <c r="D56" s="50" t="s">
        <v>105</v>
      </c>
      <c r="E56" s="50" t="s">
        <v>110</v>
      </c>
    </row>
    <row r="57" spans="1:5" ht="30" x14ac:dyDescent="0.25">
      <c r="A57" s="50" t="s">
        <v>104</v>
      </c>
      <c r="B57" s="50" t="s">
        <v>9</v>
      </c>
      <c r="C57" s="50" t="str">
        <f>+LISTADO!$H$7</f>
        <v>Javier Tabares / Alexis Cuello</v>
      </c>
      <c r="D57" s="50" t="s">
        <v>105</v>
      </c>
      <c r="E57" s="50" t="s">
        <v>111</v>
      </c>
    </row>
    <row r="58" spans="1:5" ht="45" x14ac:dyDescent="0.25">
      <c r="A58" s="50" t="s">
        <v>104</v>
      </c>
      <c r="B58" s="50" t="s">
        <v>9</v>
      </c>
      <c r="C58" s="50" t="str">
        <f>+LISTADO!$H$7</f>
        <v>Javier Tabares / Alexis Cuello</v>
      </c>
      <c r="D58" s="50" t="s">
        <v>105</v>
      </c>
      <c r="E58" s="50" t="s">
        <v>112</v>
      </c>
    </row>
    <row r="59" spans="1:5" ht="90" x14ac:dyDescent="0.25">
      <c r="A59" s="50" t="s">
        <v>104</v>
      </c>
      <c r="B59" s="50" t="s">
        <v>9</v>
      </c>
      <c r="C59" s="50" t="str">
        <f>+LISTADO!$H$7</f>
        <v>Javier Tabares / Alexis Cuello</v>
      </c>
      <c r="D59" s="50" t="s">
        <v>105</v>
      </c>
      <c r="E59" s="50" t="s">
        <v>113</v>
      </c>
    </row>
    <row r="60" spans="1:5" ht="45" x14ac:dyDescent="0.25">
      <c r="A60" s="50" t="s">
        <v>104</v>
      </c>
      <c r="B60" s="50" t="s">
        <v>9</v>
      </c>
      <c r="C60" s="50" t="str">
        <f>+LISTADO!$H$7</f>
        <v>Javier Tabares / Alexis Cuello</v>
      </c>
      <c r="D60" s="50" t="s">
        <v>105</v>
      </c>
      <c r="E60" s="50" t="s">
        <v>114</v>
      </c>
    </row>
    <row r="61" spans="1:5" ht="30" x14ac:dyDescent="0.25">
      <c r="A61" s="50" t="s">
        <v>104</v>
      </c>
      <c r="B61" s="50" t="s">
        <v>9</v>
      </c>
      <c r="C61" s="50" t="str">
        <f>+LISTADO!$H$7</f>
        <v>Javier Tabares / Alexis Cuello</v>
      </c>
      <c r="D61" s="50" t="s">
        <v>105</v>
      </c>
      <c r="E61" s="50" t="s">
        <v>115</v>
      </c>
    </row>
    <row r="62" spans="1:5" ht="45" x14ac:dyDescent="0.25">
      <c r="A62" s="50" t="s">
        <v>116</v>
      </c>
      <c r="B62" s="50" t="s">
        <v>9</v>
      </c>
      <c r="C62" s="50" t="str">
        <f>+LISTADO!$H$7</f>
        <v>Javier Tabares / Alexis Cuello</v>
      </c>
      <c r="D62" s="50" t="s">
        <v>117</v>
      </c>
      <c r="E62" s="50" t="s">
        <v>118</v>
      </c>
    </row>
    <row r="63" spans="1:5" ht="60" x14ac:dyDescent="0.25">
      <c r="A63" s="50" t="s">
        <v>116</v>
      </c>
      <c r="B63" s="50" t="s">
        <v>9</v>
      </c>
      <c r="C63" s="50" t="str">
        <f>+LISTADO!$H$7</f>
        <v>Javier Tabares / Alexis Cuello</v>
      </c>
      <c r="D63" s="50" t="s">
        <v>117</v>
      </c>
      <c r="E63" s="50" t="s">
        <v>119</v>
      </c>
    </row>
    <row r="64" spans="1:5" ht="45" x14ac:dyDescent="0.25">
      <c r="A64" s="50" t="s">
        <v>116</v>
      </c>
      <c r="B64" s="50" t="s">
        <v>9</v>
      </c>
      <c r="C64" s="50" t="str">
        <f>+LISTADO!$H$7</f>
        <v>Javier Tabares / Alexis Cuello</v>
      </c>
      <c r="D64" s="50" t="s">
        <v>117</v>
      </c>
      <c r="E64" s="50" t="s">
        <v>120</v>
      </c>
    </row>
    <row r="65" spans="1:5" ht="45" x14ac:dyDescent="0.25">
      <c r="A65" s="50" t="s">
        <v>116</v>
      </c>
      <c r="B65" s="50" t="s">
        <v>9</v>
      </c>
      <c r="C65" s="50" t="str">
        <f>+LISTADO!$H$7</f>
        <v>Javier Tabares / Alexis Cuello</v>
      </c>
      <c r="D65" s="50" t="s">
        <v>117</v>
      </c>
      <c r="E65" s="50" t="s">
        <v>121</v>
      </c>
    </row>
    <row r="66" spans="1:5" ht="45" x14ac:dyDescent="0.25">
      <c r="A66" s="50" t="s">
        <v>116</v>
      </c>
      <c r="B66" s="50" t="s">
        <v>9</v>
      </c>
      <c r="C66" s="50" t="str">
        <f>+LISTADO!$H$7</f>
        <v>Javier Tabares / Alexis Cuello</v>
      </c>
      <c r="D66" s="50" t="s">
        <v>117</v>
      </c>
      <c r="E66" s="50" t="s">
        <v>122</v>
      </c>
    </row>
    <row r="67" spans="1:5" ht="45" x14ac:dyDescent="0.25">
      <c r="A67" s="50" t="s">
        <v>116</v>
      </c>
      <c r="B67" s="50" t="s">
        <v>9</v>
      </c>
      <c r="C67" s="50" t="str">
        <f>+LISTADO!$H$7</f>
        <v>Javier Tabares / Alexis Cuello</v>
      </c>
      <c r="D67" s="50" t="s">
        <v>117</v>
      </c>
      <c r="E67" s="50" t="s">
        <v>123</v>
      </c>
    </row>
    <row r="68" spans="1:5" ht="45" x14ac:dyDescent="0.25">
      <c r="A68" s="50" t="s">
        <v>116</v>
      </c>
      <c r="B68" s="50" t="s">
        <v>9</v>
      </c>
      <c r="C68" s="50" t="str">
        <f>+LISTADO!$H$7</f>
        <v>Javier Tabares / Alexis Cuello</v>
      </c>
      <c r="D68" s="50" t="s">
        <v>117</v>
      </c>
      <c r="E68" s="50" t="s">
        <v>124</v>
      </c>
    </row>
    <row r="69" spans="1:5" ht="45" x14ac:dyDescent="0.25">
      <c r="A69" s="50" t="s">
        <v>116</v>
      </c>
      <c r="B69" s="50" t="s">
        <v>9</v>
      </c>
      <c r="C69" s="50" t="str">
        <f>+LISTADO!$H$7</f>
        <v>Javier Tabares / Alexis Cuello</v>
      </c>
      <c r="D69" s="50" t="s">
        <v>117</v>
      </c>
      <c r="E69" s="50" t="s">
        <v>125</v>
      </c>
    </row>
    <row r="70" spans="1:5" ht="45" x14ac:dyDescent="0.25">
      <c r="A70" s="50" t="s">
        <v>116</v>
      </c>
      <c r="B70" s="50" t="s">
        <v>9</v>
      </c>
      <c r="C70" s="50" t="str">
        <f>+LISTADO!$H$7</f>
        <v>Javier Tabares / Alexis Cuello</v>
      </c>
      <c r="D70" s="50" t="s">
        <v>117</v>
      </c>
      <c r="E70" s="50" t="s">
        <v>126</v>
      </c>
    </row>
    <row r="71" spans="1:5" ht="45" x14ac:dyDescent="0.25">
      <c r="A71" s="50" t="s">
        <v>116</v>
      </c>
      <c r="B71" s="50" t="s">
        <v>9</v>
      </c>
      <c r="C71" s="50" t="str">
        <f>+LISTADO!$H$7</f>
        <v>Javier Tabares / Alexis Cuello</v>
      </c>
      <c r="D71" s="50" t="s">
        <v>117</v>
      </c>
      <c r="E71" s="50" t="s">
        <v>127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2026-06-30T12:03:28Z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
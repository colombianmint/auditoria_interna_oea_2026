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24226"/>
  <mc:AlternateContent xmlns:mc="http://schemas.openxmlformats.org/markup-compatibility/2006">
    <mc:Choice Requires="x15">
      <x15ac:absPath xmlns:x15ac="http://schemas.microsoft.com/office/spreadsheetml/2010/11/ac" url="https://d.docs.live.net/6b20ea477b36462f/Cursor/Auditorias/Interna OEA/app/listados/"/>
    </mc:Choice>
  </mc:AlternateContent>
  <xr:revisionPtr revIDLastSave="14" documentId="11_9506AAD4E1E1CF3129AF7B80F0CB9682DCDD3070" xr6:coauthVersionLast="47" xr6:coauthVersionMax="47" xr10:uidLastSave="{E3915732-50A0-41FC-88E9-18A1E8B610C7}"/>
  <bookViews>
    <workbookView xWindow="-120" yWindow="-120" windowWidth="29040" windowHeight="15720" activeTab="1" xr2:uid="{00000000-000D-0000-FFFF-FFFF00000000}"/>
  </bookViews>
  <sheets>
    <sheet name="LISTADO" sheetId="1" r:id="rId1"/>
    <sheet name="Banco Pregunta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3" i="2" l="1"/>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2" i="2"/>
  <c r="G48" i="1"/>
  <c r="D48" i="1"/>
  <c r="B4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yesidrf@gmail.com</author>
  </authors>
  <commentList>
    <comment ref="H48" authorId="0" shapeId="0" xr:uid="{00000000-0006-0000-0000-000001000000}">
      <text>
        <r>
          <rPr>
            <sz val="11"/>
            <color theme="1"/>
            <rFont val="Calibri"/>
            <family val="2"/>
            <scheme val="minor"/>
          </rPr>
          <t xml:space="preserve">Nivel de implementación
1. No se ha Implementado
2. Su implementación es deficiente
3. Está en proceso de implementación
4. Se ha implementado completamente
5. Modelo en resultado trabaja con mejoramiento continuo
</t>
        </r>
      </text>
    </comment>
    <comment ref="J48" authorId="0" shapeId="0" xr:uid="{00000000-0006-0000-0000-000002000000}">
      <text>
        <r>
          <rPr>
            <sz val="11"/>
            <color theme="1"/>
            <rFont val="Calibri"/>
            <family val="2"/>
            <scheme val="minor"/>
          </rPr>
          <t xml:space="preserve">Nivel de Eficacia
1. No cumple con el objetivo, ni los indicadores y no tiene plan de acción
2. No cumple el objetivo, no los indicadores y tiene plan de acción
3. Cumple los indicadores algunas veces y genera plan de acción
4. Cumple con los indicadores y alcanza objetivos
5. Sobrepasa los indicadores se puede proyectar mas
</t>
        </r>
      </text>
    </comment>
  </commentList>
</comments>
</file>

<file path=xl/sharedStrings.xml><?xml version="1.0" encoding="utf-8"?>
<sst xmlns="http://schemas.openxmlformats.org/spreadsheetml/2006/main" count="325" uniqueCount="129">
  <si>
    <t xml:space="preserve">CI COLOMBIAN MINT </t>
  </si>
  <si>
    <t>Codigo: GMC-FR08</t>
  </si>
  <si>
    <t xml:space="preserve">   LISTADO DE VERIFICACION </t>
  </si>
  <si>
    <t>Versión:1</t>
  </si>
  <si>
    <t>Fecha de aprobación: 
01/07/2021</t>
  </si>
  <si>
    <t>1. PLANIFICACIÓN DE LA AUDITORIA</t>
  </si>
  <si>
    <t xml:space="preserve">FECHA </t>
  </si>
  <si>
    <t>2026-07-06</t>
  </si>
  <si>
    <t>PROCESO</t>
  </si>
  <si>
    <t>SRF SEGURIDAD</t>
  </si>
  <si>
    <t xml:space="preserve">AUDITOR </t>
  </si>
  <si>
    <t>Estefanía Granda</t>
  </si>
  <si>
    <t>AUDITADO</t>
  </si>
  <si>
    <t>Juan Carlos Ramírez / Diego Mesa</t>
  </si>
  <si>
    <t>DOCUMENTOS RELACIONADOS</t>
  </si>
  <si>
    <t>GMC-FR07 Plan Auditorías 2026 · Res. 015/2016 Art. 4º · GMC-FR08</t>
  </si>
  <si>
    <t>REQUISITOS</t>
  </si>
  <si>
    <t>OEA 4.1, OEA 4.2, OEA 4.3, OEA 4.4, OEA 4.5, OEA 4.6, OEA 4.7</t>
  </si>
  <si>
    <t>OBJETIVO</t>
  </si>
  <si>
    <t>Validar el cumplimiento de los requisitos de la resolución 015 de 2016 para el OEA Exportador</t>
  </si>
  <si>
    <t>ALCANCE</t>
  </si>
  <si>
    <t>Todos los requisitos OEA de la resolución 015 de 2016 para operador económico autorizado tipo Exportador.</t>
  </si>
  <si>
    <t>2. ENTREVISTA</t>
  </si>
  <si>
    <t>PREGUNTAS</t>
  </si>
  <si>
    <t>COMENTARIOS</t>
  </si>
  <si>
    <t>CUMPLE</t>
  </si>
  <si>
    <t>SI</t>
  </si>
  <si>
    <t>NO</t>
  </si>
  <si>
    <t>3. HALLAZGOS INDIVIDUALES</t>
  </si>
  <si>
    <t>4. ASPECTOS POR RESALTAR (AR)</t>
  </si>
  <si>
    <t>5. ASPECTOS POR MEJORAR (AM)</t>
  </si>
  <si>
    <t>REQUISITO</t>
  </si>
  <si>
    <t>NO CONFORMIDAD (NC)</t>
  </si>
  <si>
    <t>RIESGO</t>
  </si>
  <si>
    <t>Nº AC</t>
  </si>
  <si>
    <t>TOTAL AR</t>
  </si>
  <si>
    <t>TOTAL AM</t>
  </si>
  <si>
    <t>TOTAL NC</t>
  </si>
  <si>
    <t>NIVEL IMPLEMENTACIÓN</t>
  </si>
  <si>
    <t>NIVEL EFICACIA</t>
  </si>
  <si>
    <t>Requisito</t>
  </si>
  <si>
    <t>Proceso</t>
  </si>
  <si>
    <t>Responsable</t>
  </si>
  <si>
    <t>Descripción del requisito</t>
  </si>
  <si>
    <t>Preguntas Sugeridas Auditoría Interna</t>
  </si>
  <si>
    <t>OEA 4.1</t>
  </si>
  <si>
    <t>Debe tener implementado un sistema para identificar y controlar el acceso de personas y vehículos a sus instalaciones.</t>
  </si>
  <si>
    <t>¿relacionar en los mecanismos de control la información de los vehículos que ingresan a las instalaciones. (Placa, hora ingreso y salida, nombre del conductor). ¿Qué registros o documentos (SRF-GU01 (Guía de ingreso de vehículos al parqueadero), SRF-GU07 (Guía ingreso y salida de personal interno operativos - empleados)) demuestran el cumplimiento de lo solicitado?</t>
  </si>
  <si>
    <t>¿Adjunte el reporte de control de acceso de personas y vehículos (si el control de ingreso es por sistema) de los últimos 10 días. ¿Qué registros o documentos (SRF-FR22 (Matriz Control de Ingreso Personal Días No Laborables), SRF-IN02 (Instructivo del software de control de ingreso versión 568)) demuestran el cumplimiento de lo solicitado?</t>
  </si>
  <si>
    <t>¿Relacione de acuerdo con las áreas críticas identificadas en el proceso 1 ¿cuáles son los controles de acceso implementados para cada área. ¿Qué registros o documentos (SRF-FR21 (Matriz Asignación de Acceso Áreas Críticas - Horario Diurno / Nocturno), SRF-MT01 (Matriz de áreas críticas)) demuestran el cumplimiento de lo solicitado?</t>
  </si>
  <si>
    <t>¿según criterios de auditoría OEA (ISO 19011) para el requisito OEA 4.1: Procedimiento de control de acceso a personas y vehículos. ¿Qué evidencia objetiva presenta el auditado? Documentos de referencia: SRF-FR19 (Control Novedades Tarjetas de Acceso), SRF-GU01 (Guía de ingreso de vehículos al parqueadero)?</t>
  </si>
  <si>
    <t>¿según criterios de auditoría OEA (ISO 19011) para el requisito OEA 4.1: Planos de instalaciones con puntos de control. ¿Qué evidencia objetiva presenta el auditado? Documentos de referencia: SRF-FR22 (Matriz Control de Ingreso Personal Días No Laborables), SRF-IN02 (Instructivo del software de control de ingreso versión 568)?</t>
  </si>
  <si>
    <t>¿según criterios de auditoría OEA (ISO 19011) para el requisito OEA 4.1: Registros de ingreso/salida automatizados o manuales. ¿Qué evidencia objetiva presenta el auditado? Documentos de referencia: SRF-GU07 (Guía ingreso y salida de personal interno operativos - empleados), SRF-GU08 (Guía de ingreso y salida de transportadoras de valores)?</t>
  </si>
  <si>
    <t>¿según criterios de auditoría OEA (ISO 19011) para el requisito OEA 4.1: Evidencia de sistemas electrónicos de control de acceso (cámaras, torniquetes, lectores biométricos, etc.). ¿Qué evidencia objetiva presenta el auditado? Documentos de referencia: SRF-FR19 (Control Novedades Tarjetas de Acceso), SRF-FR21 (Matriz Asignación de Acceso Áreas Críticas - Horario Diurno / Nocturno)?</t>
  </si>
  <si>
    <t>¿Verifique el documento SRF-GU02 (Guía de protocolos de seguridad de ingreso externo). ¿Está vigente, identificado en el SGD, aprobado por la autoridad competente y en aplicación para el requisito OEA 4.1?</t>
  </si>
  <si>
    <t>¿Verifique el documento SRF-GU10 (Guía seguridad y protección para manejo y control de circuitos cerrados de televisión.). ¿Está vigente, identificado en el SGD, aprobado por la autoridad competente y en aplicación para el requisito OEA 4.1?</t>
  </si>
  <si>
    <t>¿en la auditoría ARCA (marzo 2025) se registró respecto a OEA 4.1: "Se debe actualizar el procedimiento de acceso de empleados ya que no se utiliza un formato físico SRF-FR06, sino que ahora se está gestionando a". ¿Cuál es el estado actual de las acciones correctivas y su verificación efectiva? Evidencia de cierre sugerida: SRF-GU07 (Guía ingreso y salida de personal interno operativos - empleados)?</t>
  </si>
  <si>
    <t>OEA 4.2</t>
  </si>
  <si>
    <t>Debe tener procedimientos documentados para el control, entrega, devolución, cambio y pérdida de los dispositivos para el control de acceso para el personal vinculado y visitantes.</t>
  </si>
  <si>
    <t>¿Relacione el procedimiento documentado para controlar, entregar, devolver, cambiar y/o solicitar un dispositivo de acceso a las instalaciones nuevo en caso de pérdida de la identificación entregada. Para sustentar, presente evidencia documental vigente de Colombian Mint, tales como: SRF-FR05 (Entrega de dispositivos de acceso), SRF-FR21 (Matriz Asignación de Acceso Áreas Críticas - Horario Diurno / Nocturno)?</t>
  </si>
  <si>
    <t>¿según criterios de auditoría OEA (ISO 19011) para el requisito OEA 4.2: Procedimiento documentado de gestión de credenciales y dispositivos de acceso (tarjetas, llaveros, etc.). ¿Qué evidencia objetiva presenta el auditado? Documentos de referencia: SRF-FR05 (Entrega de dispositivos de acceso), SRF-FR19 (Control Novedades Tarjetas de Acceso)?</t>
  </si>
  <si>
    <t>¿según criterios de auditoría OEA (ISO 19011) para el requisito OEA 4.2: Formatos de entrega, devolución y reporte de pérdida. ¿Qué evidencia objetiva presenta el auditado? Documentos de referencia: GHM-GU01 (Guía control, entrega, cambio y devolución del carné corporativo), GHM-FR06 (Formato de entrega de carné corporativo)?</t>
  </si>
  <si>
    <t>¿según criterios de auditoría OEA (ISO 19011) para el requisito OEA 4.2: Registro histórico de asignación y control de dispositivos. ¿Qué evidencia objetiva presenta el auditado? Documentos de referencia: SRF-FR22 (Matriz Control de Ingreso Personal Días No Laborables), SRF-FR21 (Matriz Asignación de Acceso Áreas Críticas - Horario Diurno / Nocturno)?</t>
  </si>
  <si>
    <t>¿Verifique el documento GHM-FR24 (Devolución de carné corporativo). ¿Está vigente, identificado en el SGD, aprobado por la autoridad competente y en aplicación para el requisito OEA 4.2?</t>
  </si>
  <si>
    <t>¿Verifique el documento SRF-GU07 (Guía ingreso y salida de personal interno operativos - empleados.). ¿Está vigente, identificado en el SGD, aprobado por la autoridad competente y en aplicación para el requisito OEA 4.2?</t>
  </si>
  <si>
    <t>¿en la auditoría ARCA (marzo 2025) se registró respecto a OEA 4.2: "GHM-GU01 establece que en caso de pérdida de documento se debe generar constancia en caso de". ¿Cuál es el estado actual de las acciones correctivas y su verificación efectiva? Evidencia de cierre sugerida: GHM-GU01 (Guía control, entrega, cambio y devolución del carné corporativo)?</t>
  </si>
  <si>
    <t>¿El requisito OEA 4.2 exige: "Debe tener procedimientos documentados para el control, entrega, devolución, cambio y pérdida de los dispositivos para el control de acceso para el personal vinculado y visitantes." ¿Qué controles operativos y registros demuestran su cumplimiento sostenido en Colombian Mint?</t>
  </si>
  <si>
    <t>¿El personal entrevistado conoce los requisitos de OEA 4.2 y su responsabilidad en el cumplimiento? Solicite evidencia de socialización, inducción o capacitación?</t>
  </si>
  <si>
    <t>¿Existen indicadores o métricas definidos para verificar la eficacia de los controles del requisito OEA 4.2? Presente resultados del último periodo evaluado?</t>
  </si>
  <si>
    <t>OEA 4.3</t>
  </si>
  <si>
    <t>Debe entregar a todo su personal vinculado a través de cualquier modalidad de contrato una identificación la cual debe ser portada en un lugar visible.</t>
  </si>
  <si>
    <t>¿Adjunte una copia de la identificación que se entrega a los empleados. ¿Qué registros o documentos (SRF-GU07 (Guía ingreso y salida de personal interno operativos - empleados), GHM-FR06 (Formato de entrega de carné corporativo)) demuestran el cumplimiento de lo solicitado?</t>
  </si>
  <si>
    <t>¿Adjunte formatos de entrega y devolución de los últimos 5 empleados que ingresaron y se retiraron de la empresa. ¿Qué registros o documentos (SRF-GU07 (Guía ingreso y salida de personal interno operativos - empleados), GHM-GU01 (Guía control, entrega, cambio y devolución del carné corporativo)) demuestran el cumplimiento de lo solicitado?</t>
  </si>
  <si>
    <t>¿Adjunte una evidencia del porte del carné de los empleados dentro de las instalaciones. ¿Qué registros o documentos (SRF-GU07 (Guía ingreso y salida de personal interno operativos - empleados), GHM-FR06 (Formato de entrega de carné corporativo)) demuestran el cumplimiento de lo solicitado?</t>
  </si>
  <si>
    <t>¿según criterios de auditoría OEA (ISO 19011) para el requisito OEA 4.3: Registro de entrega de carnés/identificaciones al personal. ¿Qué evidencia objetiva presenta el auditado? Documentos de referencia: SRF-GU07 (Guía ingreso y salida de personal interno operativos - empleados), GHM-FR06 (Formato de entrega de carné corporativo)?</t>
  </si>
  <si>
    <t>¿según criterios de auditoría OEA (ISO 19011) para el requisito OEA 4.3: Políticas internas de uso obligatorio de identificación. ¿Qué evidencia objetiva presenta el auditado? Documentos de referencia: SRF-GU07 (Guía ingreso y salida de personal interno operativos - empleados), SRF-GU06 (Política de gestión en seguridad)?</t>
  </si>
  <si>
    <t>¿Verifique el documento GHM-FR24 (Devolución de carné corporativo). ¿Está vigente, identificado en el SGD, aprobado por la autoridad competente y en aplicación para el requisito OEA 4.3?</t>
  </si>
  <si>
    <t>¿Verifique el documento GHM-GU05 (Proceso de Selección y Contratación). ¿Está vigente, identificado en el SGD, aprobado por la autoridad competente y en aplicación para el requisito OEA 4.3?</t>
  </si>
  <si>
    <t>¿Verifique el documento SRF-PL01 (Plan de Gestión de Seguridad y Protección). ¿Está vigente, identificado en el SGD, aprobado por la autoridad competente y en aplicación para el requisito OEA 4.3?</t>
  </si>
  <si>
    <t>¿en la auditoría ARCA (marzo 2025) se registró respecto a OEA 4.3: "En la verificación de los soportes de entrega de carnet y la respectiva firma se evidencia que los siguientes funcionarios presentan inconsistencias:". ¿Cuál es el estado actual de las acciones correctivas y su verificación efectiva? Evidencia de cierre sugerida: GHM-FR06 (Formato de entrega de carné corporativo)?</t>
  </si>
  <si>
    <t>¿El requisito OEA 4.3 exige: "Debe entregar a todo su personal vinculado a través de cualquier modalidad de contrato una identificación la cual debe ser portada en un lugar visible." ¿Qué controles operativos y registros demuestran su cumplimiento sostenido en Colombian Mint?</t>
  </si>
  <si>
    <t>OEA 4.4</t>
  </si>
  <si>
    <t>Exigir a todos los visitantes que se identifiquen para el ingreso a sus instalaciones, y hacer entrega de una identificación temporal, que debe ser portada en un lugar visible.</t>
  </si>
  <si>
    <t>¿Adjunte una copia de la identificación que se entrega a los visitantes. ¿Qué registros o documentos (SRF-GU02 (Guía de protocolos de seguridad de ingreso externo), SRF-IN02 (Instructivo del software de control de ingreso versión 568)) demuestran el cumplimiento de lo solicitado?</t>
  </si>
  <si>
    <t>¿Adjunte formatos de entrega y devolución de los últimos 5 visitantes que ingresaron. ¿Qué registros o documentos (SRF-GU02 (Guía de protocolos de seguridad de ingreso externo), SRF-IN02 (Instructivo del software de control de ingreso versión 568)) demuestran el cumplimiento de lo solicitado?</t>
  </si>
  <si>
    <t>¿Adjunte una evidencia del porte del carné de un visitante dentro de las instalaciones. ¿Qué registros o documentos (SRF-GU02 (Guía de protocolos de seguridad de ingreso externo), SRF-IN02 (Instructivo del software de control de ingreso versión 568)) demuestran el cumplimiento de lo solicitado?</t>
  </si>
  <si>
    <t>¿debe establecer ante que medio se deja registro de la entrega temporal de la identificación al visitante. ¿Qué registros o documentos (SRF-GU02 (Guía de protocolos de seguridad de ingreso externo), SRF-IN02 (Instructivo del software de control de ingreso versión 568)) demuestran el cumplimiento de lo solicitado?</t>
  </si>
  <si>
    <t>¿según criterios de auditoría OEA (ISO 19011) para el requisito OEA 4.4: Procedimiento de ingreso de visitantes. ¿Qué evidencia objetiva presenta el auditado? Documentos de referencia: SRF-GU02 (Guía de protocolos de seguridad de ingreso externo), SRF-IN02 (Instructivo del software de control de ingreso versión 568)?</t>
  </si>
  <si>
    <t>¿Verifique el documento SRF-GU04 (Guía para la seguridad física). ¿Está vigente, identificado en el SGD, aprobado por la autoridad competente y en aplicación para el requisito OEA 4.4?</t>
  </si>
  <si>
    <t>¿El requisito OEA 4.4 exige: "Exigir a todos los visitantes que se identifiquen para el ingreso a sus instalaciones, y hacer entrega de una identificación temporal, que debe ser portada en un lugar visible." ¿Qué controles operativos y registros demuestran su cumplimiento sostenido en Colombian Mint?</t>
  </si>
  <si>
    <t>¿Presente el SRF-GU01 y sus registros asociados. ¿Con qué periodicidad se actualiza, quién es el responsable y cómo se evidencia su aplicación al requisito OEA 4.4?</t>
  </si>
  <si>
    <t>¿El personal entrevistado conoce los requisitos de OEA 4.4 y su responsabilidad en el cumplimiento? Solicite evidencia de socialización, inducción o capacitación?</t>
  </si>
  <si>
    <t>¿Existen indicadores o métricas definidos para verificar la eficacia de los controles del requisito OEA 4.4? Presente resultados del último periodo evaluado?</t>
  </si>
  <si>
    <t>OEA 4.5</t>
  </si>
  <si>
    <t>Debe garantizar mediante controles efectivos y procedimientos documentados, la revisión tanto al ingreso como a la salida de sus instalaciones, de las personas, vehículos, paquetes, correo y demás objetos.</t>
  </si>
  <si>
    <t>¿se debe establecer como es el procedimiento de revisión de las personas, vehículos, paquetes, correo y demás objetos. Para sustentar, presente evidencia documental vigente de Colombian Mint, tales como: SRF-GU01 (Guía de ingreso de vehículos al parqueadero), SRF-GU02 (Guía de protocolos de seguridad de ingreso externo)?</t>
  </si>
  <si>
    <t>¿Adjunte formatos de ingreso o salida de elementos con su respectiva autorización. ¿Qué registros o documentos (SRF-GU08 (Guía de ingreso y salida de transportadoras de valores), SRF-GU01 (Guía de ingreso de vehículos al parqueadero)) demuestran el cumplimiento de lo solicitado?</t>
  </si>
  <si>
    <t>¿En caso de que esta actividad se ejerza por una empresa de vigilancia, por favor indique como realiza el proceso de revisión y bajo que parámetros del contrato de prestación de servicios se encuentra en la obligación de adelantar la actividad para garantizar la seguridad. Para sustentar, presente evidencia documental vigente de Colombian Mint, tales como: SRF-GU02 (Guía de protocolos de seguridad de ingreso externo), SRF-GU04 (Guía para la seguridad física)?</t>
  </si>
  <si>
    <t>¿según criterios de auditoría OEA (ISO 19011) para el requisito OEA 4.5: Procedimiento de revisión de entrada/salida de instalaciones. ¿Qué evidencia objetiva presenta el auditado? Documentos de referencia: SRF-FR15 (Lista de chequeo cierre de instalaciones.), SRF-GU08 (Guía de ingreso y salida de transportadoras de valores)?</t>
  </si>
  <si>
    <t>¿según criterios de auditoría OEA (ISO 19011) para el requisito OEA 4.5: Lista de chequeo para inspección de paquetes, vehículos, objetos personales. ¿Qué evidencia objetiva presenta el auditado? Documentos de referencia: SRF-FR15 (Lista de chequeo cierre de instalaciones.), SRF-GU01 (Guía de ingreso de vehículos al parqueadero)?</t>
  </si>
  <si>
    <t>¿según criterios de auditoría OEA (ISO 19011) para el requisito OEA 4.5: Registros de inspecciones realizadas (manuales o digitales). ¿Qué evidencia objetiva presenta el auditado? Documentos de referencia: SRF-GU01 (Guía de ingreso de vehículos al parqueadero), SRF-GU02 (Guía de protocolos de seguridad de ingreso externo)?</t>
  </si>
  <si>
    <t>¿Verifique el documento SRF-FR04 (Inspección física). ¿Está vigente, identificado en el SGD, aprobado por la autoridad competente y en aplicación para el requisito OEA 4.5?</t>
  </si>
  <si>
    <t>¿El requisito OEA 4.5 exige: "Debe garantizar mediante controles efectivos y procedimientos documentados, la revisión tanto al ingreso como a la salida de sus instalaciones, de las personas, vehículos, paquetes." ¿Qué controles operativos y registros demuestran su cumplimiento sostenido en Colombian Mint?</t>
  </si>
  <si>
    <t>¿El personal entrevistado conoce los requisitos de OEA 4.5 y su responsabilidad en el cumplimiento? Solicite evidencia de socialización, inducción o capacitación?</t>
  </si>
  <si>
    <t>¿Existen indicadores o métricas definidos para verificar la eficacia de los controles del requisito OEA 4.5? Presente resultados del último periodo evaluado?</t>
  </si>
  <si>
    <t>OEA 4.6</t>
  </si>
  <si>
    <t>Debe tener procedimientos documentados para garantizar que los visitantes y vehículos se dirijan únicamente a las áreas autorizadas dentro de las instalaciones.</t>
  </si>
  <si>
    <t>¿Relacione el procedimiento establecido para el acompañamiento de los visitantes. Para sustentar, presente evidencia documental vigente de Colombian Mint, tales como: SRF-FR22 (Matriz Control de Ingreso Personal Días No Laborables), SRF-GU02 (Guía de protocolos de seguridad de ingreso externo)?</t>
  </si>
  <si>
    <t>¿según criterios de auditoría OEA (ISO 19011) para el requisito OEA 4.6: Procedimiento de guía y control de visitantes. ¿Qué evidencia objetiva presenta el auditado? Documentos de referencia: SRF-FR22 (Matriz Control de Ingreso Personal Días No Laborables), SRF-IN02 (Instructivo del software de control de ingreso versión 568.)?</t>
  </si>
  <si>
    <t>¿según criterios de auditoría OEA (ISO 19011) para el requisito OEA 4.6: Planos de áreas restringidas/autorizadas. ¿Qué evidencia objetiva presenta el auditado? Documentos de referencia: SRF-FR21 (Matriz Asignación de Acceso Áreas Críticas - Horario Diurno / Nocturno), SRF-MT01 (Matriz de áreas críticas)?</t>
  </si>
  <si>
    <t>¿según criterios de auditoría OEA (ISO 19011) para el requisito OEA 4.6: Formato de autorización para ingreso a zonas específicas. ¿Qué evidencia objetiva presenta el auditado? Documentos de referencia: SRF-FR22 (Matriz Control de Ingreso Personal Días No Laborables), SRF-GU02 (Guía de protocolos de seguridad de ingreso externo)?</t>
  </si>
  <si>
    <t>¿Verifique el documento SRF-GU01 (Guía de ingreso de vehículos al parqueadero). ¿Está vigente, identificado en el SGD, aprobado por la autoridad competente y en aplicación para el requisito OEA 4.6?</t>
  </si>
  <si>
    <t>¿Verifique el documento SRF-PL01 (Plan de Gestión de Seguridad y Protección). ¿Está vigente, identificado en el SGD, aprobado por la autoridad competente y en aplicación para el requisito OEA 4.6?</t>
  </si>
  <si>
    <t>¿El requisito OEA 4.6 exige: "Debe tener procedimientos documentados para garantizar que los visitantes y vehículos se dirijan únicamente a las áreas autorizadas dentro de las instalaciones." ¿Qué controles operativos y registros demuestran su cumplimiento sostenido en Colombian Mint?</t>
  </si>
  <si>
    <t>¿Presente el SRF-GU04 y sus registros asociados. ¿Con qué periodicidad se actualiza, quién es el responsable y cómo se evidencia su aplicación al requisito OEA 4.6?</t>
  </si>
  <si>
    <t>¿El personal entrevistado conoce los requisitos de OEA 4.6 y su responsabilidad en el cumplimiento? Solicite evidencia de socialización, inducción o capacitación?</t>
  </si>
  <si>
    <t>¿Existen indicadores o métricas definidos para verificar la eficacia de los controles del requisito OEA 4.6? Presente resultados del último periodo evaluado?</t>
  </si>
  <si>
    <t>OEA 4.7</t>
  </si>
  <si>
    <t>Debe garantizar mediante controles efectivos y procedimientos documentados para que el personal vinculado sepa identificar y afrontar a personas no autorizadas o no identificadas.</t>
  </si>
  <si>
    <t>¿Relacione el procedimiento donde se establezca cómo y cuándo se determina que existe una persona no autorizada o sospechosa. Para sustentar, presente evidencia documental vigente de Colombian Mint, tales como: SRF-GU07 (Guía ingreso y salida de personal interno operativos - empleados), SRF-GU02 (Guía de protocolos de seguridad de ingreso externo)?</t>
  </si>
  <si>
    <t>¿Relacione en un informe la última actividad de sensibilización y retroalimentación de la importancia de esta actividad y la seguridad. ¿Qué registros o documentos (SRF-GU02 (Guía de protocolos de seguridad de ingreso externo), SRF-GU07 (Guía ingreso y salida de personal interno operativos - empleados)) demuestran el cumplimiento de lo solicitado?</t>
  </si>
  <si>
    <t>¿según criterios de auditoría OEA (ISO 19011) para el requisito OEA 4.7: Procedimiento de actuación frente a personas no autorizadas. ¿Qué evidencia objetiva presenta el auditado? Documentos de referencia: SRF-GU07 (Guía ingreso y salida de personal interno operativos - empleados), SRF-GU02 (Guía de protocolos de seguridad de ingreso externo)?</t>
  </si>
  <si>
    <t>¿según criterios de auditoría OEA (ISO 19011) para el requisito OEA 4.7: Reportes de incidentes o simulacros de detección de personas sin identificación. ¿Qué evidencia objetiva presenta el auditado? Documentos de referencia: SRF-GU07 (Guía ingreso y salida de personal interno operativos - empleados), GPD-FR02 (Formato para reporte y atención a incidentes)?</t>
  </si>
  <si>
    <t>¿Verifique el documento SRF-GU04 (Guía para la seguridad física). ¿Está vigente, identificado en el SGD, aprobado por la autoridad competente y en aplicación para el requisito OEA 4.7?</t>
  </si>
  <si>
    <t>¿en la auditoría ARCA (marzo 2025) se registró respecto a OEA 4.7: "Aunque se evidencia que en la reinducción del año 2025 se abordaron temas de personas no autorizadas, la última capacitación especifica frente a este tema fue en el año 2022". ¿Cuál es el estado actual de las acciones correctivas y su verificación efectiva? Evidencia de cierre sugerida: SST-FR23 (Registro de inducción y reinducción)?</t>
  </si>
  <si>
    <t>¿El requisito OEA 4.7 exige: "Debe garantizar mediante controles efectivos y procedimientos documentados para que el personal vinculado sepa identificar y afrontar a personas no autorizadas o no identificadas." ¿Qué controles operativos y registros demuestran su cumplimiento sostenido en Colombian Mint?</t>
  </si>
  <si>
    <t>¿Presente el SRF-GU10 y sus registros asociados. ¿Con qué periodicidad se actualiza, quién es el responsable y cómo se evidencia su aplicación al requisito OEA 4.7?</t>
  </si>
  <si>
    <t>¿El personal entrevistado conoce los requisitos de OEA 4.7 y su responsabilidad en el cumplimiento? Solicite evidencia de socialización, inducción o capacitación?</t>
  </si>
  <si>
    <t>¿Existen indicadores o métricas definidos para verificar la eficacia de los controles del requisito OEA 4.7? Presente resultados del último periodo evaluado?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</si>
</sst>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4" x14ac:knownFonts="1">
    <font>
      <sz val="11"/>
      <color theme="1"/>
      <name val="Calibri"/>
      <family val="2"/>
      <scheme val="minor"/>
    </font>
    <font>
      <sz val="11"/>
      <color theme="1"/>
      <name val="Arial"/>
      <family val="2"/>
    </font>
    <font>
      <b/>
      <sz val="11"/>
      <color theme="1"/>
      <name val="Arial"/>
      <family val="2"/>
    </font>
    <font>
      <sz val="10"/>
      <color theme="1"/>
      <name val="Arial"/>
      <family val="2"/>
    </font>
    <font>
      <b/>
      <sz val="10"/>
      <color theme="1"/>
      <name val="Arial"/>
      <family val="2"/>
    </font>
    <font>
      <sz val="11"/>
      <name val="Arial"/>
      <family val="2"/>
    </font>
    <font>
      <b/>
      <sz val="11"/>
      <name val="Arial"/>
      <family val="2"/>
    </font>
    <font>
      <b/>
      <sz val="12"/>
      <color theme="1"/>
      <name val="Arial"/>
      <family val="2"/>
    </font>
    <font>
      <b/>
      <sz val="14"/>
      <color theme="1"/>
      <name val="Arial"/>
      <family val="2"/>
    </font>
    <font>
      <sz val="10"/>
      <color rgb="FF000000"/>
      <name val="Arial"/>
      <family val="2"/>
    </font>
    <font>
      <sz val="10"/>
      <name val="Arial"/>
      <family val="2"/>
    </font>
    <font>
      <b/>
      <sz val="10"/>
      <color rgb="FF000000"/>
      <name val="Arial"/>
    </font>
    <font>
      <sz val="10"/>
      <color rgb="FF000000"/>
      <name val="Arial"/>
    </font>
    <font>
      <b/>
      <sz val="9"/>
      <color rgb="FF000000"/>
      <name val="Arial"/>
    </font>
  </fonts>
  <fills count="7">
    <fill>
      <patternFill patternType="none"/>
    </fill>
    <fill>
      <patternFill patternType="gray125"/>
    </fill>
    <fill>
      <patternFill patternType="solid">
        <fgColor theme="9" tint="0.79998168889431442"/>
        <bgColor indexed="64"/>
      </patternFill>
    </fill>
    <fill>
      <patternFill patternType="solid">
        <fgColor theme="0" tint="-0.14999847407452621"/>
        <bgColor indexed="64"/>
      </patternFill>
    </fill>
    <fill>
      <patternFill patternType="solid">
        <fgColor theme="0"/>
        <bgColor indexed="64"/>
      </patternFill>
    </fill>
    <fill>
      <patternFill patternType="solid">
        <fgColor rgb="FFFFC000"/>
        <bgColor rgb="FF000000"/>
      </patternFill>
    </fill>
    <fill>
      <patternFill patternType="solid">
        <fgColor rgb="FF9BBB59"/>
        <bgColor rgb="FF000000"/>
      </patternFill>
    </fill>
  </fills>
  <borders count="12">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style="thin">
        <color indexed="64"/>
      </bottom>
      <diagonal/>
    </border>
  </borders>
  <cellStyleXfs count="1">
    <xf numFmtId="0" fontId="0" fillId="0" borderId="0"/>
  </cellStyleXfs>
  <cellXfs count="51">
    <xf numFmtId="0" fontId="0" fillId="0" borderId="0" xfId="0"/>
    <xf numFmtId="0" fontId="1" fillId="0" borderId="0" xfId="0" applyFont="1"/>
    <xf numFmtId="0" fontId="1" fillId="0" borderId="0" xfId="0" applyFont="1" applyAlignment="1">
      <alignment horizontal="justify" vertical="center"/>
    </xf>
    <xf numFmtId="0" fontId="3" fillId="0" borderId="1" xfId="0" applyFont="1" applyBorder="1"/>
    <xf numFmtId="0" fontId="4" fillId="0" borderId="1" xfId="0" applyFont="1" applyBorder="1" applyAlignment="1">
      <alignment horizontal="center" vertical="center"/>
    </xf>
    <xf numFmtId="0" fontId="2" fillId="0" borderId="1" xfId="0" applyFont="1" applyBorder="1" applyAlignment="1">
      <alignment horizontal="justify" vertical="center"/>
    </xf>
    <xf numFmtId="0" fontId="2" fillId="0" borderId="1" xfId="0" applyFont="1" applyBorder="1" applyAlignment="1">
      <alignment horizontal="center"/>
    </xf>
    <xf numFmtId="0" fontId="6" fillId="0" borderId="1" xfId="0" applyFont="1" applyBorder="1" applyAlignment="1">
      <alignment wrapText="1"/>
    </xf>
    <xf numFmtId="0" fontId="4" fillId="2" borderId="1" xfId="0" applyFont="1" applyFill="1" applyBorder="1" applyAlignment="1">
      <alignment horizontal="center" vertical="center"/>
    </xf>
    <xf numFmtId="0" fontId="4" fillId="2" borderId="1" xfId="0" applyFont="1" applyFill="1" applyBorder="1" applyAlignment="1">
      <alignment vertical="center" wrapText="1"/>
    </xf>
    <xf numFmtId="0" fontId="1" fillId="0" borderId="1" xfId="0" applyFont="1" applyBorder="1" applyAlignment="1">
      <alignment horizontal="center" vertical="center"/>
    </xf>
    <xf numFmtId="0" fontId="4" fillId="2"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4" fillId="3" borderId="1" xfId="0" applyFont="1" applyFill="1" applyBorder="1" applyAlignment="1">
      <alignment horizontal="left" vertical="center" wrapText="1"/>
    </xf>
    <xf numFmtId="0" fontId="3" fillId="0" borderId="1" xfId="0" applyFont="1" applyBorder="1" applyAlignment="1">
      <alignment horizontal="center" vertical="center"/>
    </xf>
    <xf numFmtId="0" fontId="3" fillId="0" borderId="1" xfId="0" applyFont="1" applyBorder="1" applyAlignment="1">
      <alignment horizontal="justify" vertical="center"/>
    </xf>
    <xf numFmtId="0" fontId="0" fillId="0" borderId="5" xfId="0" applyBorder="1"/>
    <xf numFmtId="0" fontId="0" fillId="0" borderId="4" xfId="0" applyBorder="1"/>
    <xf numFmtId="0" fontId="10" fillId="0" borderId="1" xfId="0" applyFont="1" applyBorder="1" applyAlignment="1">
      <alignment horizontal="left" vertical="top" wrapText="1"/>
    </xf>
    <xf numFmtId="0" fontId="10" fillId="0" borderId="1" xfId="0" applyFont="1" applyBorder="1" applyAlignment="1">
      <alignment horizontal="justify" vertical="center" wrapText="1"/>
    </xf>
    <xf numFmtId="0" fontId="2"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2" xfId="0" applyBorder="1"/>
    <xf numFmtId="0" fontId="0" fillId="0" borderId="3" xfId="0" applyBorder="1"/>
    <xf numFmtId="0" fontId="0" fillId="0" borderId="8" xfId="0" applyBorder="1"/>
    <xf numFmtId="0" fontId="0" fillId="0" borderId="9" xfId="0" applyBorder="1"/>
    <xf numFmtId="0" fontId="0" fillId="0" borderId="10" xfId="0" applyBorder="1"/>
    <xf numFmtId="0" fontId="4" fillId="3" borderId="1" xfId="0" applyFont="1" applyFill="1" applyBorder="1" applyAlignment="1">
      <alignment horizontal="left" vertical="center" wrapText="1"/>
    </xf>
    <xf numFmtId="0" fontId="2" fillId="2" borderId="1" xfId="0" applyFont="1" applyFill="1" applyBorder="1" applyAlignment="1">
      <alignment horizontal="center" vertical="center"/>
    </xf>
    <xf numFmtId="0" fontId="1" fillId="0" borderId="1" xfId="0" applyFont="1" applyBorder="1" applyAlignment="1">
      <alignment horizontal="center"/>
    </xf>
    <xf numFmtId="164"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horizontal="justify" vertical="center" wrapText="1"/>
    </xf>
    <xf numFmtId="0" fontId="5" fillId="0" borderId="1" xfId="0" applyFont="1" applyBorder="1" applyAlignment="1">
      <alignment horizontal="center" vertical="top" wrapText="1"/>
    </xf>
    <xf numFmtId="0" fontId="11" fillId="0" borderId="1" xfId="0" applyFont="1" applyBorder="1" applyAlignment="1">
      <alignment horizontal="justify" vertical="center" wrapText="1"/>
    </xf>
    <xf numFmtId="0" fontId="4" fillId="2"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3" fillId="0" borderId="1" xfId="0" applyFont="1" applyBorder="1" applyAlignment="1">
      <alignment horizontal="left" vertical="center" wrapText="1"/>
    </xf>
    <xf numFmtId="0" fontId="7" fillId="0" borderId="1" xfId="0" applyFont="1" applyBorder="1" applyAlignment="1">
      <alignment horizontal="center" vertical="center"/>
    </xf>
    <xf numFmtId="0" fontId="0" fillId="0" borderId="6" xfId="0" applyBorder="1"/>
    <xf numFmtId="0" fontId="1" fillId="0" borderId="0" xfId="0" applyFont="1"/>
    <xf numFmtId="0" fontId="0" fillId="0" borderId="7" xfId="0" applyBorder="1"/>
    <xf numFmtId="0" fontId="12" fillId="0" borderId="1" xfId="0" applyFont="1" applyBorder="1" applyAlignment="1">
      <alignment vertical="center" wrapText="1"/>
    </xf>
    <xf numFmtId="0" fontId="3" fillId="0" borderId="1" xfId="0" applyFont="1" applyBorder="1" applyAlignment="1">
      <alignment horizontal="center"/>
    </xf>
    <xf numFmtId="0" fontId="9" fillId="0" borderId="1" xfId="0" applyFont="1" applyBorder="1" applyAlignment="1">
      <alignment horizontal="left" vertical="center" wrapText="1"/>
    </xf>
    <xf numFmtId="0" fontId="12" fillId="0" borderId="1" xfId="0" applyFont="1" applyBorder="1" applyAlignment="1">
      <alignment horizontal="justify" vertical="center" wrapText="1"/>
    </xf>
    <xf numFmtId="0" fontId="1" fillId="0" borderId="1" xfId="0" applyFont="1" applyBorder="1" applyAlignment="1">
      <alignment horizontal="center" vertical="center"/>
    </xf>
    <xf numFmtId="0" fontId="13" fillId="5" borderId="11" xfId="0" applyFont="1" applyFill="1" applyBorder="1" applyAlignment="1">
      <alignment horizontal="center" vertical="center" wrapText="1"/>
    </xf>
    <xf numFmtId="0" fontId="13" fillId="6" borderId="11" xfId="0" applyFont="1" applyFill="1" applyBorder="1" applyAlignment="1">
      <alignment horizontal="center" vertical="center" wrapText="1"/>
    </xf>
    <xf numFmtId="0" fontId="0" fillId="0" borderId="0" xfId="0" applyAlignment="1">
      <alignment wrapText="1"/>
    </xf>
  </cellXfs>
  <cellStyles count="1">
    <cellStyle name="Normal" xfId="0" builtinId="0"/>
  </cellStyles>
  <dxfs count="9">
    <dxf>
      <alignment textRotation="0" wrapText="1" indent="0" justifyLastLine="0" shrinkToFit="0" readingOrder="0"/>
    </dxf>
    <dxf>
      <font>
        <b/>
        <i val="0"/>
        <strike val="0"/>
        <condense val="0"/>
        <extend val="0"/>
        <outline val="0"/>
        <shadow val="0"/>
        <u val="none"/>
        <vertAlign val="baseline"/>
        <sz val="9"/>
        <color rgb="FF000000"/>
        <name val="Arial"/>
        <scheme val="none"/>
      </font>
      <fill>
        <patternFill patternType="solid">
          <fgColor rgb="FF000000"/>
          <bgColor rgb="FFFFC000"/>
        </patternFill>
      </fill>
      <alignment horizontal="center" vertical="center" textRotation="0" wrapText="1" indent="0" justifyLastLine="0" shrinkToFit="0" readingOrder="0"/>
      <border diagonalUp="0" diagonalDown="0" outline="0">
        <left style="thin">
          <color indexed="64"/>
        </left>
        <right style="thin">
          <color indexed="64"/>
        </right>
        <top/>
        <bottom/>
      </border>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border outline="0">
        <bottom style="thin">
          <color indexed="64"/>
        </bottom>
      </border>
    </dxf>
    <dxf>
      <border outline="0">
        <top style="thin">
          <color indexed="64"/>
        </top>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345321</xdr:colOff>
      <xdr:row>0</xdr:row>
      <xdr:rowOff>34018</xdr:rowOff>
    </xdr:from>
    <xdr:to>
      <xdr:col>1</xdr:col>
      <xdr:colOff>759514</xdr:colOff>
      <xdr:row>3</xdr:row>
      <xdr:rowOff>238125</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345321" y="34018"/>
          <a:ext cx="928543" cy="937532"/>
        </a:xfrm>
        <a:prstGeom prst="rect">
          <a:avLst/>
        </a:prstGeom>
        <a:ln>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6785D1-E0D8-486F-AB90-3F4A368E6C01}" name="Tabla1" displayName="Tabla1" ref="A1:E71" totalsRowShown="0" headerRowDxfId="1" dataDxfId="0" headerRowBorderDxfId="7" tableBorderDxfId="8">
  <autoFilter ref="A1:E71" xr:uid="{8D6785D1-E0D8-486F-AB90-3F4A368E6C01}"/>
  <tableColumns count="5">
    <tableColumn id="1" xr3:uid="{15CD7E00-65FA-486A-A5C6-9E11907FC284}" name="Requisito" dataDxfId="6"/>
    <tableColumn id="2" xr3:uid="{117A8303-B1B4-423E-AABD-ECB20EE012B9}" name="Proceso" dataDxfId="5"/>
    <tableColumn id="3" xr3:uid="{AA567A0A-9E5F-4441-83BE-35B6CFCE230F}" name="Responsable" dataDxfId="4">
      <calculatedColumnFormula>+LISTADO!$H$7</calculatedColumnFormula>
    </tableColumn>
    <tableColumn id="4" xr3:uid="{A3F0E99F-2736-4558-A1C0-787F22F024D8}" name="Descripción del requisito" dataDxfId="3"/>
    <tableColumn id="5" xr3:uid="{08A873F7-E29E-49A3-855B-6C9729CB0EA9}" name="Preguntas Sugeridas Auditoría Interna" dataDxfId="2"/>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showGridLines="0" topLeftCell="A28" zoomScaleNormal="100" workbookViewId="0">
      <selection activeCell="I48" sqref="I48"/>
    </sheetView>
  </sheetViews>
  <sheetFormatPr baseColWidth="10" defaultColWidth="11.42578125" defaultRowHeight="14.25" x14ac:dyDescent="0.2"/>
  <cols>
    <col min="1" max="1" width="7.7109375" style="1" customWidth="1"/>
    <col min="2" max="2" width="17.140625" style="1" customWidth="1"/>
    <col min="3" max="3" width="16.5703125" style="1" customWidth="1"/>
    <col min="4" max="4" width="10.5703125" style="1" customWidth="1"/>
    <col min="5" max="5" width="3.28515625" style="1" customWidth="1"/>
    <col min="6" max="6" width="11" style="1" customWidth="1"/>
    <col min="7" max="7" width="16.42578125" style="1" customWidth="1"/>
    <col min="8" max="8" width="17.7109375" style="1" customWidth="1"/>
    <col min="9" max="9" width="8.85546875" style="1" customWidth="1"/>
    <col min="10" max="10" width="13.7109375" style="1" customWidth="1"/>
    <col min="11" max="12" width="7.42578125" style="1" customWidth="1"/>
    <col min="13" max="13" width="11.42578125" style="1" customWidth="1"/>
    <col min="14" max="16384" width="11.42578125" style="1"/>
  </cols>
  <sheetData>
    <row r="1" spans="1:12" ht="29.25" customHeight="1" x14ac:dyDescent="0.25">
      <c r="A1" s="44"/>
      <c r="B1" s="23"/>
      <c r="C1" s="37" t="s">
        <v>0</v>
      </c>
      <c r="D1" s="16"/>
      <c r="E1" s="16"/>
      <c r="F1" s="16"/>
      <c r="G1" s="16"/>
      <c r="H1" s="16"/>
      <c r="I1" s="16"/>
      <c r="J1" s="17"/>
      <c r="K1" s="31" t="s">
        <v>1</v>
      </c>
      <c r="L1" s="17"/>
    </row>
    <row r="2" spans="1:12" ht="15" x14ac:dyDescent="0.25">
      <c r="A2" s="40"/>
      <c r="B2" s="42"/>
      <c r="C2" s="39" t="s">
        <v>2</v>
      </c>
      <c r="D2" s="22"/>
      <c r="E2" s="22"/>
      <c r="F2" s="22"/>
      <c r="G2" s="22"/>
      <c r="H2" s="22"/>
      <c r="I2" s="22"/>
      <c r="J2" s="23"/>
      <c r="K2" s="32" t="s">
        <v>3</v>
      </c>
      <c r="L2" s="17"/>
    </row>
    <row r="3" spans="1:12" ht="14.25" customHeight="1" x14ac:dyDescent="0.2">
      <c r="A3" s="40"/>
      <c r="B3" s="42"/>
      <c r="C3" s="40"/>
      <c r="D3" s="41"/>
      <c r="E3" s="41"/>
      <c r="F3" s="41"/>
      <c r="G3" s="41"/>
      <c r="H3" s="41"/>
      <c r="I3" s="41"/>
      <c r="J3" s="42"/>
      <c r="K3" s="31" t="s">
        <v>4</v>
      </c>
      <c r="L3" s="23"/>
    </row>
    <row r="4" spans="1:12" ht="24.75" customHeight="1" x14ac:dyDescent="0.2">
      <c r="A4" s="24"/>
      <c r="B4" s="26"/>
      <c r="C4" s="24"/>
      <c r="D4" s="25"/>
      <c r="E4" s="25"/>
      <c r="F4" s="25"/>
      <c r="G4" s="25"/>
      <c r="H4" s="25"/>
      <c r="I4" s="25"/>
      <c r="J4" s="26"/>
      <c r="K4" s="24"/>
      <c r="L4" s="26"/>
    </row>
    <row r="5" spans="1:12" ht="15" customHeight="1" x14ac:dyDescent="0.25">
      <c r="A5" s="28" t="s">
        <v>5</v>
      </c>
      <c r="B5" s="16"/>
      <c r="C5" s="16"/>
      <c r="D5" s="16"/>
      <c r="E5" s="16"/>
      <c r="F5" s="16"/>
      <c r="G5" s="16"/>
      <c r="H5" s="16"/>
      <c r="I5" s="16"/>
      <c r="J5" s="16"/>
      <c r="K5" s="16"/>
      <c r="L5" s="17"/>
    </row>
    <row r="6" spans="1:12" ht="23.25" customHeight="1" x14ac:dyDescent="0.25">
      <c r="A6" s="27" t="s">
        <v>6</v>
      </c>
      <c r="B6" s="17"/>
      <c r="C6" s="30" t="s">
        <v>7</v>
      </c>
      <c r="D6" s="16"/>
      <c r="E6" s="16"/>
      <c r="F6" s="17"/>
      <c r="G6" s="13" t="s">
        <v>8</v>
      </c>
      <c r="H6" s="38" t="s">
        <v>9</v>
      </c>
      <c r="I6" s="16"/>
      <c r="J6" s="16"/>
      <c r="K6" s="16"/>
      <c r="L6" s="17"/>
    </row>
    <row r="7" spans="1:12" ht="23.25" customHeight="1" x14ac:dyDescent="0.25">
      <c r="A7" s="27" t="s">
        <v>10</v>
      </c>
      <c r="B7" s="17"/>
      <c r="C7" s="38" t="s">
        <v>11</v>
      </c>
      <c r="D7" s="16"/>
      <c r="E7" s="16"/>
      <c r="F7" s="17"/>
      <c r="G7" s="13" t="s">
        <v>12</v>
      </c>
      <c r="H7" s="38" t="s">
        <v>13</v>
      </c>
      <c r="I7" s="16"/>
      <c r="J7" s="16"/>
      <c r="K7" s="16"/>
      <c r="L7" s="17"/>
    </row>
    <row r="8" spans="1:12" ht="23.25" customHeight="1" x14ac:dyDescent="0.25">
      <c r="A8" s="27" t="s">
        <v>14</v>
      </c>
      <c r="B8" s="17"/>
      <c r="C8" s="38" t="s">
        <v>15</v>
      </c>
      <c r="D8" s="16"/>
      <c r="E8" s="16"/>
      <c r="F8" s="17"/>
      <c r="G8" s="13" t="s">
        <v>16</v>
      </c>
      <c r="H8" s="45" t="s">
        <v>17</v>
      </c>
      <c r="I8" s="16"/>
      <c r="J8" s="16"/>
      <c r="K8" s="16"/>
      <c r="L8" s="17"/>
    </row>
    <row r="9" spans="1:12" ht="23.25" customHeight="1" x14ac:dyDescent="0.25">
      <c r="A9" s="27" t="s">
        <v>18</v>
      </c>
      <c r="B9" s="17"/>
      <c r="C9" s="38" t="s">
        <v>19</v>
      </c>
      <c r="D9" s="16"/>
      <c r="E9" s="16"/>
      <c r="F9" s="17"/>
      <c r="G9" s="13" t="s">
        <v>20</v>
      </c>
      <c r="H9" s="38" t="s">
        <v>21</v>
      </c>
      <c r="I9" s="16"/>
      <c r="J9" s="16"/>
      <c r="K9" s="16"/>
      <c r="L9" s="17"/>
    </row>
    <row r="10" spans="1:12" ht="15" customHeight="1" x14ac:dyDescent="0.25">
      <c r="A10" s="28" t="s">
        <v>22</v>
      </c>
      <c r="B10" s="16"/>
      <c r="C10" s="16"/>
      <c r="D10" s="16"/>
      <c r="E10" s="16"/>
      <c r="F10" s="16"/>
      <c r="G10" s="16"/>
      <c r="H10" s="16"/>
      <c r="I10" s="16"/>
      <c r="J10" s="16"/>
      <c r="K10" s="16"/>
      <c r="L10" s="17"/>
    </row>
    <row r="11" spans="1:12" ht="15" customHeight="1" x14ac:dyDescent="0.25">
      <c r="A11" s="21" t="s">
        <v>23</v>
      </c>
      <c r="B11" s="22"/>
      <c r="C11" s="22"/>
      <c r="D11" s="22"/>
      <c r="E11" s="22"/>
      <c r="F11" s="23"/>
      <c r="G11" s="21" t="s">
        <v>24</v>
      </c>
      <c r="H11" s="22"/>
      <c r="I11" s="22"/>
      <c r="J11" s="23"/>
      <c r="K11" s="21" t="s">
        <v>25</v>
      </c>
      <c r="L11" s="17"/>
    </row>
    <row r="12" spans="1:12" ht="15" customHeight="1" x14ac:dyDescent="0.2">
      <c r="A12" s="24"/>
      <c r="B12" s="25"/>
      <c r="C12" s="25"/>
      <c r="D12" s="25"/>
      <c r="E12" s="25"/>
      <c r="F12" s="26"/>
      <c r="G12" s="24"/>
      <c r="H12" s="25"/>
      <c r="I12" s="25"/>
      <c r="J12" s="26"/>
      <c r="K12" s="12" t="s">
        <v>26</v>
      </c>
      <c r="L12" s="12" t="s">
        <v>27</v>
      </c>
    </row>
    <row r="13" spans="1:12" s="2" customFormat="1" ht="15" customHeight="1" x14ac:dyDescent="0.25">
      <c r="A13" s="14">
        <v>1</v>
      </c>
      <c r="B13" s="43"/>
      <c r="C13" s="16"/>
      <c r="D13" s="16"/>
      <c r="E13" s="16"/>
      <c r="F13" s="17"/>
      <c r="G13" s="33"/>
      <c r="H13" s="16"/>
      <c r="I13" s="16"/>
      <c r="J13" s="17"/>
      <c r="K13" s="4"/>
      <c r="L13" s="5"/>
    </row>
    <row r="14" spans="1:12" ht="15" customHeight="1" x14ac:dyDescent="0.25">
      <c r="A14" s="14">
        <v>2</v>
      </c>
      <c r="B14" s="46"/>
      <c r="C14" s="16"/>
      <c r="D14" s="16"/>
      <c r="E14" s="16"/>
      <c r="F14" s="17"/>
      <c r="G14" s="33"/>
      <c r="H14" s="16"/>
      <c r="I14" s="16"/>
      <c r="J14" s="17"/>
      <c r="K14" s="4"/>
      <c r="L14" s="6"/>
    </row>
    <row r="15" spans="1:12" ht="15" customHeight="1" x14ac:dyDescent="0.25">
      <c r="A15" s="14">
        <v>3</v>
      </c>
      <c r="B15" s="35"/>
      <c r="C15" s="16"/>
      <c r="D15" s="16"/>
      <c r="E15" s="16"/>
      <c r="F15" s="17"/>
      <c r="G15" s="33"/>
      <c r="H15" s="16"/>
      <c r="I15" s="16"/>
      <c r="J15" s="17"/>
      <c r="K15" s="4"/>
      <c r="L15" s="6"/>
    </row>
    <row r="16" spans="1:12" ht="15" x14ac:dyDescent="0.25">
      <c r="A16" s="14">
        <v>4</v>
      </c>
      <c r="B16" s="15"/>
      <c r="C16" s="16"/>
      <c r="D16" s="16"/>
      <c r="E16" s="16"/>
      <c r="F16" s="17"/>
      <c r="G16" s="33"/>
      <c r="H16" s="16"/>
      <c r="I16" s="16"/>
      <c r="J16" s="17"/>
      <c r="K16" s="4"/>
      <c r="L16" s="3"/>
    </row>
    <row r="17" spans="1:12" ht="15" x14ac:dyDescent="0.25">
      <c r="A17" s="14">
        <v>5</v>
      </c>
      <c r="B17" s="15"/>
      <c r="C17" s="16"/>
      <c r="D17" s="16"/>
      <c r="E17" s="16"/>
      <c r="F17" s="17"/>
      <c r="G17" s="33"/>
      <c r="H17" s="16"/>
      <c r="I17" s="16"/>
      <c r="J17" s="17"/>
      <c r="K17" s="4"/>
      <c r="L17" s="3"/>
    </row>
    <row r="18" spans="1:12" ht="15" x14ac:dyDescent="0.25">
      <c r="A18" s="14">
        <v>6</v>
      </c>
      <c r="B18" s="15"/>
      <c r="C18" s="16"/>
      <c r="D18" s="16"/>
      <c r="E18" s="16"/>
      <c r="F18" s="17"/>
      <c r="G18" s="33"/>
      <c r="H18" s="16"/>
      <c r="I18" s="16"/>
      <c r="J18" s="17"/>
      <c r="K18" s="4"/>
      <c r="L18" s="3"/>
    </row>
    <row r="19" spans="1:12" ht="15" x14ac:dyDescent="0.25">
      <c r="A19" s="14">
        <v>7</v>
      </c>
      <c r="B19" s="15"/>
      <c r="C19" s="16"/>
      <c r="D19" s="16"/>
      <c r="E19" s="16"/>
      <c r="F19" s="17"/>
      <c r="G19" s="33"/>
      <c r="H19" s="16"/>
      <c r="I19" s="16"/>
      <c r="J19" s="17"/>
      <c r="K19" s="4"/>
      <c r="L19" s="3"/>
    </row>
    <row r="20" spans="1:12" ht="15" x14ac:dyDescent="0.25">
      <c r="A20" s="14">
        <v>8</v>
      </c>
      <c r="B20" s="15"/>
      <c r="C20" s="16"/>
      <c r="D20" s="16"/>
      <c r="E20" s="16"/>
      <c r="F20" s="17"/>
      <c r="G20" s="33"/>
      <c r="H20" s="16"/>
      <c r="I20" s="16"/>
      <c r="J20" s="17"/>
      <c r="K20" s="4"/>
      <c r="L20" s="3"/>
    </row>
    <row r="21" spans="1:12" ht="15" x14ac:dyDescent="0.25">
      <c r="A21" s="14">
        <v>9</v>
      </c>
      <c r="B21" s="15"/>
      <c r="C21" s="16"/>
      <c r="D21" s="16"/>
      <c r="E21" s="16"/>
      <c r="F21" s="17"/>
      <c r="G21" s="33"/>
      <c r="H21" s="16"/>
      <c r="I21" s="16"/>
      <c r="J21" s="17"/>
      <c r="K21" s="4"/>
      <c r="L21" s="3"/>
    </row>
    <row r="22" spans="1:12" ht="15" x14ac:dyDescent="0.25">
      <c r="A22" s="14">
        <v>10</v>
      </c>
      <c r="B22" s="15"/>
      <c r="C22" s="16"/>
      <c r="D22" s="16"/>
      <c r="E22" s="16"/>
      <c r="F22" s="17"/>
      <c r="G22" s="33"/>
      <c r="H22" s="16"/>
      <c r="I22" s="16"/>
      <c r="J22" s="17"/>
      <c r="K22" s="4"/>
      <c r="L22" s="3"/>
    </row>
    <row r="23" spans="1:12" ht="15" x14ac:dyDescent="0.25">
      <c r="A23" s="29"/>
      <c r="B23" s="16"/>
      <c r="C23" s="16"/>
      <c r="D23" s="16"/>
      <c r="E23" s="16"/>
      <c r="F23" s="16"/>
      <c r="G23" s="16"/>
      <c r="H23" s="16"/>
      <c r="I23" s="16"/>
      <c r="J23" s="16"/>
      <c r="K23" s="16"/>
      <c r="L23" s="17"/>
    </row>
    <row r="24" spans="1:12" ht="15" customHeight="1" x14ac:dyDescent="0.25">
      <c r="A24" s="28" t="s">
        <v>28</v>
      </c>
      <c r="B24" s="16"/>
      <c r="C24" s="16"/>
      <c r="D24" s="16"/>
      <c r="E24" s="16"/>
      <c r="F24" s="16"/>
      <c r="G24" s="16"/>
      <c r="H24" s="16"/>
      <c r="I24" s="16"/>
      <c r="J24" s="16"/>
      <c r="K24" s="16"/>
      <c r="L24" s="17"/>
    </row>
    <row r="25" spans="1:12" ht="15" customHeight="1" x14ac:dyDescent="0.25">
      <c r="A25" s="20"/>
      <c r="B25" s="16"/>
      <c r="C25" s="16"/>
      <c r="D25" s="16"/>
      <c r="E25" s="16"/>
      <c r="F25" s="16"/>
      <c r="G25" s="16"/>
      <c r="H25" s="16"/>
      <c r="I25" s="16"/>
      <c r="J25" s="16"/>
      <c r="K25" s="16"/>
      <c r="L25" s="17"/>
    </row>
    <row r="26" spans="1:12" ht="15" customHeight="1" x14ac:dyDescent="0.25">
      <c r="A26" s="20"/>
      <c r="B26" s="16"/>
      <c r="C26" s="16"/>
      <c r="D26" s="16"/>
      <c r="E26" s="16"/>
      <c r="F26" s="16"/>
      <c r="G26" s="16"/>
      <c r="H26" s="16"/>
      <c r="I26" s="16"/>
      <c r="J26" s="16"/>
      <c r="K26" s="16"/>
      <c r="L26" s="17"/>
    </row>
    <row r="27" spans="1:12" ht="15" customHeight="1" x14ac:dyDescent="0.25">
      <c r="A27" s="20"/>
      <c r="B27" s="16"/>
      <c r="C27" s="16"/>
      <c r="D27" s="16"/>
      <c r="E27" s="16"/>
      <c r="F27" s="16"/>
      <c r="G27" s="16"/>
      <c r="H27" s="16"/>
      <c r="I27" s="16"/>
      <c r="J27" s="16"/>
      <c r="K27" s="16"/>
      <c r="L27" s="17"/>
    </row>
    <row r="28" spans="1:12" ht="15" customHeight="1" x14ac:dyDescent="0.25">
      <c r="A28" s="28" t="s">
        <v>29</v>
      </c>
      <c r="B28" s="16"/>
      <c r="C28" s="16"/>
      <c r="D28" s="16"/>
      <c r="E28" s="16"/>
      <c r="F28" s="16"/>
      <c r="G28" s="16"/>
      <c r="H28" s="16"/>
      <c r="I28" s="16"/>
      <c r="J28" s="16"/>
      <c r="K28" s="16"/>
      <c r="L28" s="17"/>
    </row>
    <row r="29" spans="1:12" ht="15" x14ac:dyDescent="0.25">
      <c r="A29" s="10">
        <v>1</v>
      </c>
      <c r="B29" s="19"/>
      <c r="C29" s="16"/>
      <c r="D29" s="16"/>
      <c r="E29" s="16"/>
      <c r="F29" s="16"/>
      <c r="G29" s="16"/>
      <c r="H29" s="16"/>
      <c r="I29" s="16"/>
      <c r="J29" s="16"/>
      <c r="K29" s="16"/>
      <c r="L29" s="17"/>
    </row>
    <row r="30" spans="1:12" ht="15" x14ac:dyDescent="0.25">
      <c r="A30" s="10">
        <v>2</v>
      </c>
      <c r="B30" s="19"/>
      <c r="C30" s="16"/>
      <c r="D30" s="16"/>
      <c r="E30" s="16"/>
      <c r="F30" s="16"/>
      <c r="G30" s="16"/>
      <c r="H30" s="16"/>
      <c r="I30" s="16"/>
      <c r="J30" s="16"/>
      <c r="K30" s="16"/>
      <c r="L30" s="17"/>
    </row>
    <row r="31" spans="1:12" ht="15" x14ac:dyDescent="0.25">
      <c r="A31" s="10">
        <v>3</v>
      </c>
      <c r="B31" s="19"/>
      <c r="C31" s="16"/>
      <c r="D31" s="16"/>
      <c r="E31" s="16"/>
      <c r="F31" s="16"/>
      <c r="G31" s="16"/>
      <c r="H31" s="16"/>
      <c r="I31" s="16"/>
      <c r="J31" s="16"/>
      <c r="K31" s="16"/>
      <c r="L31" s="17"/>
    </row>
    <row r="32" spans="1:12" ht="15" x14ac:dyDescent="0.25">
      <c r="A32" s="10">
        <v>4</v>
      </c>
      <c r="B32" s="19"/>
      <c r="C32" s="16"/>
      <c r="D32" s="16"/>
      <c r="E32" s="16"/>
      <c r="F32" s="16"/>
      <c r="G32" s="16"/>
      <c r="H32" s="16"/>
      <c r="I32" s="16"/>
      <c r="J32" s="16"/>
      <c r="K32" s="16"/>
      <c r="L32" s="17"/>
    </row>
    <row r="33" spans="1:12" ht="15" x14ac:dyDescent="0.25">
      <c r="A33" s="10">
        <v>5</v>
      </c>
      <c r="B33" s="19"/>
      <c r="C33" s="16"/>
      <c r="D33" s="16"/>
      <c r="E33" s="16"/>
      <c r="F33" s="16"/>
      <c r="G33" s="16"/>
      <c r="H33" s="16"/>
      <c r="I33" s="16"/>
      <c r="J33" s="16"/>
      <c r="K33" s="16"/>
      <c r="L33" s="17"/>
    </row>
    <row r="34" spans="1:12" ht="15" customHeight="1" x14ac:dyDescent="0.25">
      <c r="A34" s="28" t="s">
        <v>30</v>
      </c>
      <c r="B34" s="16"/>
      <c r="C34" s="16"/>
      <c r="D34" s="16"/>
      <c r="E34" s="16"/>
      <c r="F34" s="16"/>
      <c r="G34" s="16"/>
      <c r="H34" s="16"/>
      <c r="I34" s="16"/>
      <c r="J34" s="16"/>
      <c r="K34" s="16"/>
      <c r="L34" s="17"/>
    </row>
    <row r="35" spans="1:12" ht="15" x14ac:dyDescent="0.25">
      <c r="A35" s="10">
        <v>1</v>
      </c>
      <c r="B35" s="19"/>
      <c r="C35" s="16"/>
      <c r="D35" s="16"/>
      <c r="E35" s="16"/>
      <c r="F35" s="16"/>
      <c r="G35" s="16"/>
      <c r="H35" s="16"/>
      <c r="I35" s="16"/>
      <c r="J35" s="16"/>
      <c r="K35" s="16"/>
      <c r="L35" s="17"/>
    </row>
    <row r="36" spans="1:12" ht="15" x14ac:dyDescent="0.25">
      <c r="A36" s="10">
        <v>2</v>
      </c>
      <c r="B36" s="19"/>
      <c r="C36" s="16"/>
      <c r="D36" s="16"/>
      <c r="E36" s="16"/>
      <c r="F36" s="16"/>
      <c r="G36" s="16"/>
      <c r="H36" s="16"/>
      <c r="I36" s="16"/>
      <c r="J36" s="16"/>
      <c r="K36" s="16"/>
      <c r="L36" s="17"/>
    </row>
    <row r="37" spans="1:12" ht="15" x14ac:dyDescent="0.25">
      <c r="A37" s="10">
        <v>3</v>
      </c>
      <c r="B37" s="19"/>
      <c r="C37" s="16"/>
      <c r="D37" s="16"/>
      <c r="E37" s="16"/>
      <c r="F37" s="16"/>
      <c r="G37" s="16"/>
      <c r="H37" s="16"/>
      <c r="I37" s="16"/>
      <c r="J37" s="16"/>
      <c r="K37" s="16"/>
      <c r="L37" s="17"/>
    </row>
    <row r="38" spans="1:12" ht="15" x14ac:dyDescent="0.25">
      <c r="A38" s="10">
        <v>4</v>
      </c>
      <c r="B38" s="19"/>
      <c r="C38" s="16"/>
      <c r="D38" s="16"/>
      <c r="E38" s="16"/>
      <c r="F38" s="16"/>
      <c r="G38" s="16"/>
      <c r="H38" s="16"/>
      <c r="I38" s="16"/>
      <c r="J38" s="16"/>
      <c r="K38" s="16"/>
      <c r="L38" s="17"/>
    </row>
    <row r="39" spans="1:12" ht="15" x14ac:dyDescent="0.25">
      <c r="A39" s="10">
        <v>5</v>
      </c>
      <c r="B39" s="19"/>
      <c r="C39" s="16"/>
      <c r="D39" s="16"/>
      <c r="E39" s="16"/>
      <c r="F39" s="16"/>
      <c r="G39" s="16"/>
      <c r="H39" s="16"/>
      <c r="I39" s="16"/>
      <c r="J39" s="16"/>
      <c r="K39" s="16"/>
      <c r="L39" s="17"/>
    </row>
    <row r="40" spans="1:12" ht="15" x14ac:dyDescent="0.25">
      <c r="A40" s="29"/>
      <c r="B40" s="16"/>
      <c r="C40" s="16"/>
      <c r="D40" s="16"/>
      <c r="E40" s="16"/>
      <c r="F40" s="16"/>
      <c r="G40" s="16"/>
      <c r="H40" s="16"/>
      <c r="I40" s="16"/>
      <c r="J40" s="16"/>
      <c r="K40" s="16"/>
      <c r="L40" s="17"/>
    </row>
    <row r="41" spans="1:12" ht="15" customHeight="1" x14ac:dyDescent="0.25">
      <c r="A41" s="28" t="s">
        <v>31</v>
      </c>
      <c r="B41" s="17"/>
      <c r="C41" s="28" t="s">
        <v>32</v>
      </c>
      <c r="D41" s="16"/>
      <c r="E41" s="16"/>
      <c r="F41" s="16"/>
      <c r="G41" s="17"/>
      <c r="H41" s="28" t="s">
        <v>33</v>
      </c>
      <c r="I41" s="16"/>
      <c r="J41" s="17"/>
      <c r="K41" s="28" t="s">
        <v>34</v>
      </c>
      <c r="L41" s="17"/>
    </row>
    <row r="42" spans="1:12" ht="15" customHeight="1" x14ac:dyDescent="0.25">
      <c r="A42" s="10">
        <v>1</v>
      </c>
      <c r="B42" s="7"/>
      <c r="C42" s="18"/>
      <c r="D42" s="16"/>
      <c r="E42" s="16"/>
      <c r="F42" s="16"/>
      <c r="G42" s="17"/>
      <c r="H42" s="34"/>
      <c r="I42" s="16"/>
      <c r="J42" s="17"/>
      <c r="K42" s="29"/>
      <c r="L42" s="17"/>
    </row>
    <row r="43" spans="1:12" ht="15" customHeight="1" x14ac:dyDescent="0.25">
      <c r="A43" s="10">
        <v>2</v>
      </c>
      <c r="B43" s="7"/>
      <c r="C43" s="18"/>
      <c r="D43" s="16"/>
      <c r="E43" s="16"/>
      <c r="F43" s="16"/>
      <c r="G43" s="17"/>
      <c r="H43" s="34"/>
      <c r="I43" s="16"/>
      <c r="J43" s="17"/>
      <c r="K43" s="29"/>
      <c r="L43" s="17"/>
    </row>
    <row r="44" spans="1:12" ht="15" customHeight="1" x14ac:dyDescent="0.25">
      <c r="A44" s="10">
        <v>3</v>
      </c>
      <c r="B44" s="7"/>
      <c r="C44" s="18"/>
      <c r="D44" s="16"/>
      <c r="E44" s="16"/>
      <c r="F44" s="16"/>
      <c r="G44" s="17"/>
      <c r="H44" s="34"/>
      <c r="I44" s="16"/>
      <c r="J44" s="17"/>
      <c r="K44" s="29"/>
      <c r="L44" s="17"/>
    </row>
    <row r="45" spans="1:12" ht="15" customHeight="1" x14ac:dyDescent="0.25">
      <c r="A45" s="10">
        <v>4</v>
      </c>
      <c r="B45" s="7"/>
      <c r="C45" s="18"/>
      <c r="D45" s="16"/>
      <c r="E45" s="16"/>
      <c r="F45" s="16"/>
      <c r="G45" s="17"/>
      <c r="H45" s="34"/>
      <c r="I45" s="16"/>
      <c r="J45" s="17"/>
      <c r="K45" s="29"/>
      <c r="L45" s="17"/>
    </row>
    <row r="46" spans="1:12" ht="15" customHeight="1" x14ac:dyDescent="0.25">
      <c r="A46" s="10">
        <v>5</v>
      </c>
      <c r="B46" s="7"/>
      <c r="C46" s="18"/>
      <c r="D46" s="16"/>
      <c r="E46" s="16"/>
      <c r="F46" s="16"/>
      <c r="G46" s="17"/>
      <c r="H46" s="34"/>
      <c r="I46" s="16"/>
      <c r="J46" s="17"/>
      <c r="K46" s="29"/>
      <c r="L46" s="17"/>
    </row>
    <row r="47" spans="1:12" ht="15" customHeight="1" x14ac:dyDescent="0.25">
      <c r="A47" s="7"/>
      <c r="B47" s="7"/>
      <c r="C47" s="18"/>
      <c r="D47" s="16"/>
      <c r="E47" s="16"/>
      <c r="F47" s="16"/>
      <c r="G47" s="17"/>
      <c r="H47" s="34"/>
      <c r="I47" s="16"/>
      <c r="J47" s="17"/>
      <c r="K47" s="29"/>
      <c r="L47" s="17"/>
    </row>
    <row r="48" spans="1:12" ht="38.25" customHeight="1" x14ac:dyDescent="0.25">
      <c r="A48" s="11" t="s">
        <v>35</v>
      </c>
      <c r="B48" s="10">
        <f>COUNTA(B29)</f>
        <v>0</v>
      </c>
      <c r="C48" s="8" t="s">
        <v>36</v>
      </c>
      <c r="D48" s="10">
        <f>COUNTA(B35:L39)</f>
        <v>0</v>
      </c>
      <c r="E48" s="36" t="s">
        <v>37</v>
      </c>
      <c r="F48" s="17"/>
      <c r="G48" s="10">
        <f>COUNTA(C42:G46)</f>
        <v>0</v>
      </c>
      <c r="H48" s="9" t="s">
        <v>38</v>
      </c>
      <c r="I48" s="10"/>
      <c r="J48" s="11" t="s">
        <v>39</v>
      </c>
      <c r="K48" s="47"/>
      <c r="L48" s="17"/>
    </row>
  </sheetData>
  <mergeCells count="85">
    <mergeCell ref="K48:L48"/>
    <mergeCell ref="H43:J43"/>
    <mergeCell ref="C9:F9"/>
    <mergeCell ref="H41:J41"/>
    <mergeCell ref="B36:L36"/>
    <mergeCell ref="G14:J14"/>
    <mergeCell ref="A6:B6"/>
    <mergeCell ref="H9:L9"/>
    <mergeCell ref="C41:G41"/>
    <mergeCell ref="B14:F14"/>
    <mergeCell ref="C43:G43"/>
    <mergeCell ref="A10:L10"/>
    <mergeCell ref="G17:J17"/>
    <mergeCell ref="A28:L28"/>
    <mergeCell ref="G19:J19"/>
    <mergeCell ref="C2:J4"/>
    <mergeCell ref="H46:J46"/>
    <mergeCell ref="A25:L25"/>
    <mergeCell ref="C8:F8"/>
    <mergeCell ref="G16:J16"/>
    <mergeCell ref="K45:L45"/>
    <mergeCell ref="H45:J45"/>
    <mergeCell ref="B21:F21"/>
    <mergeCell ref="K11:L11"/>
    <mergeCell ref="H6:L6"/>
    <mergeCell ref="K44:L44"/>
    <mergeCell ref="K46:L46"/>
    <mergeCell ref="B13:F13"/>
    <mergeCell ref="G13:J13"/>
    <mergeCell ref="B30:L30"/>
    <mergeCell ref="A1:B4"/>
    <mergeCell ref="E48:F48"/>
    <mergeCell ref="G22:J22"/>
    <mergeCell ref="C1:J1"/>
    <mergeCell ref="A5:L5"/>
    <mergeCell ref="K1:L1"/>
    <mergeCell ref="K41:L41"/>
    <mergeCell ref="G21:J21"/>
    <mergeCell ref="B17:F17"/>
    <mergeCell ref="H42:J42"/>
    <mergeCell ref="K43:L43"/>
    <mergeCell ref="H7:L7"/>
    <mergeCell ref="C46:G46"/>
    <mergeCell ref="B29:L29"/>
    <mergeCell ref="B19:F19"/>
    <mergeCell ref="B37:L37"/>
    <mergeCell ref="A40:L40"/>
    <mergeCell ref="C6:F6"/>
    <mergeCell ref="K3:L4"/>
    <mergeCell ref="B38:L38"/>
    <mergeCell ref="K2:L2"/>
    <mergeCell ref="K42:L42"/>
    <mergeCell ref="A34:L34"/>
    <mergeCell ref="G18:J18"/>
    <mergeCell ref="B20:F20"/>
    <mergeCell ref="B15:F15"/>
    <mergeCell ref="B33:L33"/>
    <mergeCell ref="A9:B9"/>
    <mergeCell ref="B32:L32"/>
    <mergeCell ref="G11:J12"/>
    <mergeCell ref="B35:L35"/>
    <mergeCell ref="C42:G42"/>
    <mergeCell ref="G20:J20"/>
    <mergeCell ref="A11:F12"/>
    <mergeCell ref="A7:B7"/>
    <mergeCell ref="C47:G47"/>
    <mergeCell ref="A41:B41"/>
    <mergeCell ref="B39:L39"/>
    <mergeCell ref="A23:L23"/>
    <mergeCell ref="C44:G44"/>
    <mergeCell ref="H44:J44"/>
    <mergeCell ref="A8:B8"/>
    <mergeCell ref="A24:L24"/>
    <mergeCell ref="K47:L47"/>
    <mergeCell ref="H47:J47"/>
    <mergeCell ref="G15:J15"/>
    <mergeCell ref="H8:L8"/>
    <mergeCell ref="C7:F7"/>
    <mergeCell ref="B22:F22"/>
    <mergeCell ref="B16:F16"/>
    <mergeCell ref="C45:G45"/>
    <mergeCell ref="B31:L31"/>
    <mergeCell ref="B18:F18"/>
    <mergeCell ref="A26:L26"/>
    <mergeCell ref="A27:L27"/>
  </mergeCells>
  <dataValidations count="1">
    <dataValidation type="whole" allowBlank="1" showInputMessage="1" showErrorMessage="1" sqref="I48 K48:L48" xr:uid="{00000000-0002-0000-0000-000000000000}">
      <formula1>1</formula1>
      <formula2>5</formula2>
    </dataValidation>
  </dataValidations>
  <pageMargins left="0.7" right="0.7" top="0.75" bottom="0.75" header="0.3" footer="0.3"/>
  <pageSetup paperSize="9" orientation="portrait"/>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1"/>
  <sheetViews>
    <sheetView tabSelected="1" topLeftCell="A13" workbookViewId="0">
      <selection activeCell="C8" sqref="C8"/>
    </sheetView>
  </sheetViews>
  <sheetFormatPr baseColWidth="10" defaultColWidth="9.140625" defaultRowHeight="15" x14ac:dyDescent="0.25"/>
  <cols>
    <col min="1" max="1" width="9.28515625" style="50" customWidth="1"/>
    <col min="2" max="2" width="15.85546875" style="50" customWidth="1"/>
    <col min="3" max="3" width="18.28515625" style="50" customWidth="1"/>
    <col min="4" max="4" width="62.5703125" style="50" customWidth="1"/>
    <col min="5" max="5" width="115.85546875" style="50" customWidth="1"/>
    <col min="6" max="16384" width="9.140625" style="50"/>
  </cols>
  <sheetData>
    <row r="1" spans="1:5" x14ac:dyDescent="0.25">
      <c r="A1" s="48" t="s">
        <v>40</v>
      </c>
      <c r="B1" s="48" t="s">
        <v>41</v>
      </c>
      <c r="C1" s="48" t="s">
        <v>42</v>
      </c>
      <c r="D1" s="48" t="s">
        <v>43</v>
      </c>
      <c r="E1" s="49" t="s">
        <v>44</v>
      </c>
    </row>
    <row r="2" spans="1:5" ht="45" x14ac:dyDescent="0.25">
      <c r="A2" s="50" t="s">
        <v>45</v>
      </c>
      <c r="B2" s="50" t="s">
        <v>9</v>
      </c>
      <c r="C2" s="50" t="str">
        <f>+LISTADO!$H$7</f>
        <v>Juan Carlos Ramírez / Diego Mesa</v>
      </c>
      <c r="D2" s="50" t="s">
        <v>46</v>
      </c>
      <c r="E2" s="50" t="s">
        <v>47</v>
      </c>
    </row>
    <row r="3" spans="1:5" ht="45" x14ac:dyDescent="0.25">
      <c r="A3" s="50" t="s">
        <v>45</v>
      </c>
      <c r="B3" s="50" t="s">
        <v>9</v>
      </c>
      <c r="C3" s="50" t="str">
        <f>+LISTADO!$H$7</f>
        <v>Juan Carlos Ramírez / Diego Mesa</v>
      </c>
      <c r="D3" s="50" t="s">
        <v>46</v>
      </c>
      <c r="E3" s="50" t="s">
        <v>48</v>
      </c>
    </row>
    <row r="4" spans="1:5" ht="45" x14ac:dyDescent="0.25">
      <c r="A4" s="50" t="s">
        <v>45</v>
      </c>
      <c r="B4" s="50" t="s">
        <v>9</v>
      </c>
      <c r="C4" s="50" t="str">
        <f>+LISTADO!$H$7</f>
        <v>Juan Carlos Ramírez / Diego Mesa</v>
      </c>
      <c r="D4" s="50" t="s">
        <v>46</v>
      </c>
      <c r="E4" s="50" t="s">
        <v>49</v>
      </c>
    </row>
    <row r="5" spans="1:5" ht="45" x14ac:dyDescent="0.25">
      <c r="A5" s="50" t="s">
        <v>45</v>
      </c>
      <c r="B5" s="50" t="s">
        <v>9</v>
      </c>
      <c r="C5" s="50" t="str">
        <f>+LISTADO!$H$7</f>
        <v>Juan Carlos Ramírez / Diego Mesa</v>
      </c>
      <c r="D5" s="50" t="s">
        <v>46</v>
      </c>
      <c r="E5" s="50" t="s">
        <v>50</v>
      </c>
    </row>
    <row r="6" spans="1:5" ht="45" x14ac:dyDescent="0.25">
      <c r="A6" s="50" t="s">
        <v>45</v>
      </c>
      <c r="B6" s="50" t="s">
        <v>9</v>
      </c>
      <c r="C6" s="50" t="str">
        <f>+LISTADO!$H$7</f>
        <v>Juan Carlos Ramírez / Diego Mesa</v>
      </c>
      <c r="D6" s="50" t="s">
        <v>46</v>
      </c>
      <c r="E6" s="50" t="s">
        <v>51</v>
      </c>
    </row>
    <row r="7" spans="1:5" ht="45" x14ac:dyDescent="0.25">
      <c r="A7" s="50" t="s">
        <v>45</v>
      </c>
      <c r="B7" s="50" t="s">
        <v>9</v>
      </c>
      <c r="C7" s="50" t="str">
        <f>+LISTADO!$H$7</f>
        <v>Juan Carlos Ramírez / Diego Mesa</v>
      </c>
      <c r="D7" s="50" t="s">
        <v>46</v>
      </c>
      <c r="E7" s="50" t="s">
        <v>52</v>
      </c>
    </row>
    <row r="8" spans="1:5" ht="60" x14ac:dyDescent="0.25">
      <c r="A8" s="50" t="s">
        <v>45</v>
      </c>
      <c r="B8" s="50" t="s">
        <v>9</v>
      </c>
      <c r="C8" s="50" t="str">
        <f>+LISTADO!$H$7</f>
        <v>Juan Carlos Ramírez / Diego Mesa</v>
      </c>
      <c r="D8" s="50" t="s">
        <v>46</v>
      </c>
      <c r="E8" s="50" t="s">
        <v>53</v>
      </c>
    </row>
    <row r="9" spans="1:5" ht="45" x14ac:dyDescent="0.25">
      <c r="A9" s="50" t="s">
        <v>45</v>
      </c>
      <c r="B9" s="50" t="s">
        <v>9</v>
      </c>
      <c r="C9" s="50" t="str">
        <f>+LISTADO!$H$7</f>
        <v>Juan Carlos Ramírez / Diego Mesa</v>
      </c>
      <c r="D9" s="50" t="s">
        <v>46</v>
      </c>
      <c r="E9" s="50" t="s">
        <v>54</v>
      </c>
    </row>
    <row r="10" spans="1:5" ht="45" x14ac:dyDescent="0.25">
      <c r="A10" s="50" t="s">
        <v>45</v>
      </c>
      <c r="B10" s="50" t="s">
        <v>9</v>
      </c>
      <c r="C10" s="50" t="str">
        <f>+LISTADO!$H$7</f>
        <v>Juan Carlos Ramírez / Diego Mesa</v>
      </c>
      <c r="D10" s="50" t="s">
        <v>46</v>
      </c>
      <c r="E10" s="50" t="s">
        <v>55</v>
      </c>
    </row>
    <row r="11" spans="1:5" ht="60" x14ac:dyDescent="0.25">
      <c r="A11" s="50" t="s">
        <v>45</v>
      </c>
      <c r="B11" s="50" t="s">
        <v>9</v>
      </c>
      <c r="C11" s="50" t="str">
        <f>+LISTADO!$H$7</f>
        <v>Juan Carlos Ramírez / Diego Mesa</v>
      </c>
      <c r="D11" s="50" t="s">
        <v>46</v>
      </c>
      <c r="E11" s="50" t="s">
        <v>56</v>
      </c>
    </row>
    <row r="12" spans="1:5" ht="60" x14ac:dyDescent="0.25">
      <c r="A12" s="50" t="s">
        <v>57</v>
      </c>
      <c r="B12" s="50" t="s">
        <v>9</v>
      </c>
      <c r="C12" s="50" t="str">
        <f>+LISTADO!$H$7</f>
        <v>Juan Carlos Ramírez / Diego Mesa</v>
      </c>
      <c r="D12" s="50" t="s">
        <v>58</v>
      </c>
      <c r="E12" s="50" t="s">
        <v>59</v>
      </c>
    </row>
    <row r="13" spans="1:5" ht="45" x14ac:dyDescent="0.25">
      <c r="A13" s="50" t="s">
        <v>57</v>
      </c>
      <c r="B13" s="50" t="s">
        <v>9</v>
      </c>
      <c r="C13" s="50" t="str">
        <f>+LISTADO!$H$7</f>
        <v>Juan Carlos Ramírez / Diego Mesa</v>
      </c>
      <c r="D13" s="50" t="s">
        <v>58</v>
      </c>
      <c r="E13" s="50" t="s">
        <v>60</v>
      </c>
    </row>
    <row r="14" spans="1:5" ht="45" x14ac:dyDescent="0.25">
      <c r="A14" s="50" t="s">
        <v>57</v>
      </c>
      <c r="B14" s="50" t="s">
        <v>9</v>
      </c>
      <c r="C14" s="50" t="str">
        <f>+LISTADO!$H$7</f>
        <v>Juan Carlos Ramírez / Diego Mesa</v>
      </c>
      <c r="D14" s="50" t="s">
        <v>58</v>
      </c>
      <c r="E14" s="50" t="s">
        <v>61</v>
      </c>
    </row>
    <row r="15" spans="1:5" ht="45" x14ac:dyDescent="0.25">
      <c r="A15" s="50" t="s">
        <v>57</v>
      </c>
      <c r="B15" s="50" t="s">
        <v>9</v>
      </c>
      <c r="C15" s="50" t="str">
        <f>+LISTADO!$H$7</f>
        <v>Juan Carlos Ramírez / Diego Mesa</v>
      </c>
      <c r="D15" s="50" t="s">
        <v>58</v>
      </c>
      <c r="E15" s="50" t="s">
        <v>62</v>
      </c>
    </row>
    <row r="16" spans="1:5" ht="45" x14ac:dyDescent="0.25">
      <c r="A16" s="50" t="s">
        <v>57</v>
      </c>
      <c r="B16" s="50" t="s">
        <v>9</v>
      </c>
      <c r="C16" s="50" t="str">
        <f>+LISTADO!$H$7</f>
        <v>Juan Carlos Ramírez / Diego Mesa</v>
      </c>
      <c r="D16" s="50" t="s">
        <v>58</v>
      </c>
      <c r="E16" s="50" t="s">
        <v>63</v>
      </c>
    </row>
    <row r="17" spans="1:5" ht="45" x14ac:dyDescent="0.25">
      <c r="A17" s="50" t="s">
        <v>57</v>
      </c>
      <c r="B17" s="50" t="s">
        <v>9</v>
      </c>
      <c r="C17" s="50" t="str">
        <f>+LISTADO!$H$7</f>
        <v>Juan Carlos Ramírez / Diego Mesa</v>
      </c>
      <c r="D17" s="50" t="s">
        <v>58</v>
      </c>
      <c r="E17" s="50" t="s">
        <v>64</v>
      </c>
    </row>
    <row r="18" spans="1:5" ht="45" x14ac:dyDescent="0.25">
      <c r="A18" s="50" t="s">
        <v>57</v>
      </c>
      <c r="B18" s="50" t="s">
        <v>9</v>
      </c>
      <c r="C18" s="50" t="str">
        <f>+LISTADO!$H$7</f>
        <v>Juan Carlos Ramírez / Diego Mesa</v>
      </c>
      <c r="D18" s="50" t="s">
        <v>58</v>
      </c>
      <c r="E18" s="50" t="s">
        <v>65</v>
      </c>
    </row>
    <row r="19" spans="1:5" ht="45" x14ac:dyDescent="0.25">
      <c r="A19" s="50" t="s">
        <v>57</v>
      </c>
      <c r="B19" s="50" t="s">
        <v>9</v>
      </c>
      <c r="C19" s="50" t="str">
        <f>+LISTADO!$H$7</f>
        <v>Juan Carlos Ramírez / Diego Mesa</v>
      </c>
      <c r="D19" s="50" t="s">
        <v>58</v>
      </c>
      <c r="E19" s="50" t="s">
        <v>66</v>
      </c>
    </row>
    <row r="20" spans="1:5" ht="45" x14ac:dyDescent="0.25">
      <c r="A20" s="50" t="s">
        <v>57</v>
      </c>
      <c r="B20" s="50" t="s">
        <v>9</v>
      </c>
      <c r="C20" s="50" t="str">
        <f>+LISTADO!$H$7</f>
        <v>Juan Carlos Ramírez / Diego Mesa</v>
      </c>
      <c r="D20" s="50" t="s">
        <v>58</v>
      </c>
      <c r="E20" s="50" t="s">
        <v>67</v>
      </c>
    </row>
    <row r="21" spans="1:5" ht="45" x14ac:dyDescent="0.25">
      <c r="A21" s="50" t="s">
        <v>57</v>
      </c>
      <c r="B21" s="50" t="s">
        <v>9</v>
      </c>
      <c r="C21" s="50" t="str">
        <f>+LISTADO!$H$7</f>
        <v>Juan Carlos Ramírez / Diego Mesa</v>
      </c>
      <c r="D21" s="50" t="s">
        <v>58</v>
      </c>
      <c r="E21" s="50" t="s">
        <v>68</v>
      </c>
    </row>
    <row r="22" spans="1:5" ht="45" x14ac:dyDescent="0.25">
      <c r="A22" s="50" t="s">
        <v>69</v>
      </c>
      <c r="B22" s="50" t="s">
        <v>9</v>
      </c>
      <c r="C22" s="50" t="str">
        <f>+LISTADO!$H$7</f>
        <v>Juan Carlos Ramírez / Diego Mesa</v>
      </c>
      <c r="D22" s="50" t="s">
        <v>70</v>
      </c>
      <c r="E22" s="50" t="s">
        <v>71</v>
      </c>
    </row>
    <row r="23" spans="1:5" ht="45" x14ac:dyDescent="0.25">
      <c r="A23" s="50" t="s">
        <v>69</v>
      </c>
      <c r="B23" s="50" t="s">
        <v>9</v>
      </c>
      <c r="C23" s="50" t="str">
        <f>+LISTADO!$H$7</f>
        <v>Juan Carlos Ramírez / Diego Mesa</v>
      </c>
      <c r="D23" s="50" t="s">
        <v>70</v>
      </c>
      <c r="E23" s="50" t="s">
        <v>72</v>
      </c>
    </row>
    <row r="24" spans="1:5" ht="45" x14ac:dyDescent="0.25">
      <c r="A24" s="50" t="s">
        <v>69</v>
      </c>
      <c r="B24" s="50" t="s">
        <v>9</v>
      </c>
      <c r="C24" s="50" t="str">
        <f>+LISTADO!$H$7</f>
        <v>Juan Carlos Ramírez / Diego Mesa</v>
      </c>
      <c r="D24" s="50" t="s">
        <v>70</v>
      </c>
      <c r="E24" s="50" t="s">
        <v>73</v>
      </c>
    </row>
    <row r="25" spans="1:5" ht="45" x14ac:dyDescent="0.25">
      <c r="A25" s="50" t="s">
        <v>69</v>
      </c>
      <c r="B25" s="50" t="s">
        <v>9</v>
      </c>
      <c r="C25" s="50" t="str">
        <f>+LISTADO!$H$7</f>
        <v>Juan Carlos Ramírez / Diego Mesa</v>
      </c>
      <c r="D25" s="50" t="s">
        <v>70</v>
      </c>
      <c r="E25" s="50" t="s">
        <v>74</v>
      </c>
    </row>
    <row r="26" spans="1:5" ht="45" x14ac:dyDescent="0.25">
      <c r="A26" s="50" t="s">
        <v>69</v>
      </c>
      <c r="B26" s="50" t="s">
        <v>9</v>
      </c>
      <c r="C26" s="50" t="str">
        <f>+LISTADO!$H$7</f>
        <v>Juan Carlos Ramírez / Diego Mesa</v>
      </c>
      <c r="D26" s="50" t="s">
        <v>70</v>
      </c>
      <c r="E26" s="50" t="s">
        <v>75</v>
      </c>
    </row>
    <row r="27" spans="1:5" ht="45" x14ac:dyDescent="0.25">
      <c r="A27" s="50" t="s">
        <v>69</v>
      </c>
      <c r="B27" s="50" t="s">
        <v>9</v>
      </c>
      <c r="C27" s="50" t="str">
        <f>+LISTADO!$H$7</f>
        <v>Juan Carlos Ramírez / Diego Mesa</v>
      </c>
      <c r="D27" s="50" t="s">
        <v>70</v>
      </c>
      <c r="E27" s="50" t="s">
        <v>76</v>
      </c>
    </row>
    <row r="28" spans="1:5" ht="45" x14ac:dyDescent="0.25">
      <c r="A28" s="50" t="s">
        <v>69</v>
      </c>
      <c r="B28" s="50" t="s">
        <v>9</v>
      </c>
      <c r="C28" s="50" t="str">
        <f>+LISTADO!$H$7</f>
        <v>Juan Carlos Ramírez / Diego Mesa</v>
      </c>
      <c r="D28" s="50" t="s">
        <v>70</v>
      </c>
      <c r="E28" s="50" t="s">
        <v>77</v>
      </c>
    </row>
    <row r="29" spans="1:5" ht="45" x14ac:dyDescent="0.25">
      <c r="A29" s="50" t="s">
        <v>69</v>
      </c>
      <c r="B29" s="50" t="s">
        <v>9</v>
      </c>
      <c r="C29" s="50" t="str">
        <f>+LISTADO!$H$7</f>
        <v>Juan Carlos Ramírez / Diego Mesa</v>
      </c>
      <c r="D29" s="50" t="s">
        <v>70</v>
      </c>
      <c r="E29" s="50" t="s">
        <v>78</v>
      </c>
    </row>
    <row r="30" spans="1:5" ht="60" x14ac:dyDescent="0.25">
      <c r="A30" s="50" t="s">
        <v>69</v>
      </c>
      <c r="B30" s="50" t="s">
        <v>9</v>
      </c>
      <c r="C30" s="50" t="str">
        <f>+LISTADO!$H$7</f>
        <v>Juan Carlos Ramírez / Diego Mesa</v>
      </c>
      <c r="D30" s="50" t="s">
        <v>70</v>
      </c>
      <c r="E30" s="50" t="s">
        <v>79</v>
      </c>
    </row>
    <row r="31" spans="1:5" ht="45" x14ac:dyDescent="0.25">
      <c r="A31" s="50" t="s">
        <v>69</v>
      </c>
      <c r="B31" s="50" t="s">
        <v>9</v>
      </c>
      <c r="C31" s="50" t="str">
        <f>+LISTADO!$H$7</f>
        <v>Juan Carlos Ramírez / Diego Mesa</v>
      </c>
      <c r="D31" s="50" t="s">
        <v>70</v>
      </c>
      <c r="E31" s="50" t="s">
        <v>80</v>
      </c>
    </row>
    <row r="32" spans="1:5" ht="45" x14ac:dyDescent="0.25">
      <c r="A32" s="50" t="s">
        <v>81</v>
      </c>
      <c r="B32" s="50" t="s">
        <v>9</v>
      </c>
      <c r="C32" s="50" t="str">
        <f>+LISTADO!$H$7</f>
        <v>Juan Carlos Ramírez / Diego Mesa</v>
      </c>
      <c r="D32" s="50" t="s">
        <v>82</v>
      </c>
      <c r="E32" s="50" t="s">
        <v>83</v>
      </c>
    </row>
    <row r="33" spans="1:5" ht="45" x14ac:dyDescent="0.25">
      <c r="A33" s="50" t="s">
        <v>81</v>
      </c>
      <c r="B33" s="50" t="s">
        <v>9</v>
      </c>
      <c r="C33" s="50" t="str">
        <f>+LISTADO!$H$7</f>
        <v>Juan Carlos Ramírez / Diego Mesa</v>
      </c>
      <c r="D33" s="50" t="s">
        <v>82</v>
      </c>
      <c r="E33" s="50" t="s">
        <v>84</v>
      </c>
    </row>
    <row r="34" spans="1:5" ht="45" x14ac:dyDescent="0.25">
      <c r="A34" s="50" t="s">
        <v>81</v>
      </c>
      <c r="B34" s="50" t="s">
        <v>9</v>
      </c>
      <c r="C34" s="50" t="str">
        <f>+LISTADO!$H$7</f>
        <v>Juan Carlos Ramírez / Diego Mesa</v>
      </c>
      <c r="D34" s="50" t="s">
        <v>82</v>
      </c>
      <c r="E34" s="50" t="s">
        <v>85</v>
      </c>
    </row>
    <row r="35" spans="1:5" ht="45" x14ac:dyDescent="0.25">
      <c r="A35" s="50" t="s">
        <v>81</v>
      </c>
      <c r="B35" s="50" t="s">
        <v>9</v>
      </c>
      <c r="C35" s="50" t="str">
        <f>+LISTADO!$H$7</f>
        <v>Juan Carlos Ramírez / Diego Mesa</v>
      </c>
      <c r="D35" s="50" t="s">
        <v>82</v>
      </c>
      <c r="E35" s="50" t="s">
        <v>86</v>
      </c>
    </row>
    <row r="36" spans="1:5" ht="45" x14ac:dyDescent="0.25">
      <c r="A36" s="50" t="s">
        <v>81</v>
      </c>
      <c r="B36" s="50" t="s">
        <v>9</v>
      </c>
      <c r="C36" s="50" t="str">
        <f>+LISTADO!$H$7</f>
        <v>Juan Carlos Ramírez / Diego Mesa</v>
      </c>
      <c r="D36" s="50" t="s">
        <v>82</v>
      </c>
      <c r="E36" s="50" t="s">
        <v>87</v>
      </c>
    </row>
    <row r="37" spans="1:5" ht="45" x14ac:dyDescent="0.25">
      <c r="A37" s="50" t="s">
        <v>81</v>
      </c>
      <c r="B37" s="50" t="s">
        <v>9</v>
      </c>
      <c r="C37" s="50" t="str">
        <f>+LISTADO!$H$7</f>
        <v>Juan Carlos Ramírez / Diego Mesa</v>
      </c>
      <c r="D37" s="50" t="s">
        <v>82</v>
      </c>
      <c r="E37" s="50" t="s">
        <v>88</v>
      </c>
    </row>
    <row r="38" spans="1:5" ht="45" x14ac:dyDescent="0.25">
      <c r="A38" s="50" t="s">
        <v>81</v>
      </c>
      <c r="B38" s="50" t="s">
        <v>9</v>
      </c>
      <c r="C38" s="50" t="str">
        <f>+LISTADO!$H$7</f>
        <v>Juan Carlos Ramírez / Diego Mesa</v>
      </c>
      <c r="D38" s="50" t="s">
        <v>82</v>
      </c>
      <c r="E38" s="50" t="s">
        <v>89</v>
      </c>
    </row>
    <row r="39" spans="1:5" ht="45" x14ac:dyDescent="0.25">
      <c r="A39" s="50" t="s">
        <v>81</v>
      </c>
      <c r="B39" s="50" t="s">
        <v>9</v>
      </c>
      <c r="C39" s="50" t="str">
        <f>+LISTADO!$H$7</f>
        <v>Juan Carlos Ramírez / Diego Mesa</v>
      </c>
      <c r="D39" s="50" t="s">
        <v>82</v>
      </c>
      <c r="E39" s="50" t="s">
        <v>90</v>
      </c>
    </row>
    <row r="40" spans="1:5" ht="45" x14ac:dyDescent="0.25">
      <c r="A40" s="50" t="s">
        <v>81</v>
      </c>
      <c r="B40" s="50" t="s">
        <v>9</v>
      </c>
      <c r="C40" s="50" t="str">
        <f>+LISTADO!$H$7</f>
        <v>Juan Carlos Ramírez / Diego Mesa</v>
      </c>
      <c r="D40" s="50" t="s">
        <v>82</v>
      </c>
      <c r="E40" s="50" t="s">
        <v>91</v>
      </c>
    </row>
    <row r="41" spans="1:5" ht="45" x14ac:dyDescent="0.25">
      <c r="A41" s="50" t="s">
        <v>81</v>
      </c>
      <c r="B41" s="50" t="s">
        <v>9</v>
      </c>
      <c r="C41" s="50" t="str">
        <f>+LISTADO!$H$7</f>
        <v>Juan Carlos Ramírez / Diego Mesa</v>
      </c>
      <c r="D41" s="50" t="s">
        <v>82</v>
      </c>
      <c r="E41" s="50" t="s">
        <v>92</v>
      </c>
    </row>
    <row r="42" spans="1:5" ht="60" x14ac:dyDescent="0.25">
      <c r="A42" s="50" t="s">
        <v>93</v>
      </c>
      <c r="B42" s="50" t="s">
        <v>9</v>
      </c>
      <c r="C42" s="50" t="str">
        <f>+LISTADO!$H$7</f>
        <v>Juan Carlos Ramírez / Diego Mesa</v>
      </c>
      <c r="D42" s="50" t="s">
        <v>94</v>
      </c>
      <c r="E42" s="50" t="s">
        <v>95</v>
      </c>
    </row>
    <row r="43" spans="1:5" ht="60" x14ac:dyDescent="0.25">
      <c r="A43" s="50" t="s">
        <v>93</v>
      </c>
      <c r="B43" s="50" t="s">
        <v>9</v>
      </c>
      <c r="C43" s="50" t="str">
        <f>+LISTADO!$H$7</f>
        <v>Juan Carlos Ramírez / Diego Mesa</v>
      </c>
      <c r="D43" s="50" t="s">
        <v>94</v>
      </c>
      <c r="E43" s="50" t="s">
        <v>96</v>
      </c>
    </row>
    <row r="44" spans="1:5" ht="60" x14ac:dyDescent="0.25">
      <c r="A44" s="50" t="s">
        <v>93</v>
      </c>
      <c r="B44" s="50" t="s">
        <v>9</v>
      </c>
      <c r="C44" s="50" t="str">
        <f>+LISTADO!$H$7</f>
        <v>Juan Carlos Ramírez / Diego Mesa</v>
      </c>
      <c r="D44" s="50" t="s">
        <v>94</v>
      </c>
      <c r="E44" s="50" t="s">
        <v>97</v>
      </c>
    </row>
    <row r="45" spans="1:5" ht="60" x14ac:dyDescent="0.25">
      <c r="A45" s="50" t="s">
        <v>93</v>
      </c>
      <c r="B45" s="50" t="s">
        <v>9</v>
      </c>
      <c r="C45" s="50" t="str">
        <f>+LISTADO!$H$7</f>
        <v>Juan Carlos Ramírez / Diego Mesa</v>
      </c>
      <c r="D45" s="50" t="s">
        <v>94</v>
      </c>
      <c r="E45" s="50" t="s">
        <v>98</v>
      </c>
    </row>
    <row r="46" spans="1:5" ht="60" x14ac:dyDescent="0.25">
      <c r="A46" s="50" t="s">
        <v>93</v>
      </c>
      <c r="B46" s="50" t="s">
        <v>9</v>
      </c>
      <c r="C46" s="50" t="str">
        <f>+LISTADO!$H$7</f>
        <v>Juan Carlos Ramírez / Diego Mesa</v>
      </c>
      <c r="D46" s="50" t="s">
        <v>94</v>
      </c>
      <c r="E46" s="50" t="s">
        <v>99</v>
      </c>
    </row>
    <row r="47" spans="1:5" ht="60" x14ac:dyDescent="0.25">
      <c r="A47" s="50" t="s">
        <v>93</v>
      </c>
      <c r="B47" s="50" t="s">
        <v>9</v>
      </c>
      <c r="C47" s="50" t="str">
        <f>+LISTADO!$H$7</f>
        <v>Juan Carlos Ramírez / Diego Mesa</v>
      </c>
      <c r="D47" s="50" t="s">
        <v>94</v>
      </c>
      <c r="E47" s="50" t="s">
        <v>100</v>
      </c>
    </row>
    <row r="48" spans="1:5" ht="60" x14ac:dyDescent="0.25">
      <c r="A48" s="50" t="s">
        <v>93</v>
      </c>
      <c r="B48" s="50" t="s">
        <v>9</v>
      </c>
      <c r="C48" s="50" t="str">
        <f>+LISTADO!$H$7</f>
        <v>Juan Carlos Ramírez / Diego Mesa</v>
      </c>
      <c r="D48" s="50" t="s">
        <v>94</v>
      </c>
      <c r="E48" s="50" t="s">
        <v>101</v>
      </c>
    </row>
    <row r="49" spans="1:5" ht="60" x14ac:dyDescent="0.25">
      <c r="A49" s="50" t="s">
        <v>93</v>
      </c>
      <c r="B49" s="50" t="s">
        <v>9</v>
      </c>
      <c r="C49" s="50" t="str">
        <f>+LISTADO!$H$7</f>
        <v>Juan Carlos Ramírez / Diego Mesa</v>
      </c>
      <c r="D49" s="50" t="s">
        <v>94</v>
      </c>
      <c r="E49" s="50" t="s">
        <v>102</v>
      </c>
    </row>
    <row r="50" spans="1:5" ht="60" x14ac:dyDescent="0.25">
      <c r="A50" s="50" t="s">
        <v>93</v>
      </c>
      <c r="B50" s="50" t="s">
        <v>9</v>
      </c>
      <c r="C50" s="50" t="str">
        <f>+LISTADO!$H$7</f>
        <v>Juan Carlos Ramírez / Diego Mesa</v>
      </c>
      <c r="D50" s="50" t="s">
        <v>94</v>
      </c>
      <c r="E50" s="50" t="s">
        <v>103</v>
      </c>
    </row>
    <row r="51" spans="1:5" ht="60" x14ac:dyDescent="0.25">
      <c r="A51" s="50" t="s">
        <v>93</v>
      </c>
      <c r="B51" s="50" t="s">
        <v>9</v>
      </c>
      <c r="C51" s="50" t="str">
        <f>+LISTADO!$H$7</f>
        <v>Juan Carlos Ramírez / Diego Mesa</v>
      </c>
      <c r="D51" s="50" t="s">
        <v>94</v>
      </c>
      <c r="E51" s="50" t="s">
        <v>104</v>
      </c>
    </row>
    <row r="52" spans="1:5" ht="45" x14ac:dyDescent="0.25">
      <c r="A52" s="50" t="s">
        <v>105</v>
      </c>
      <c r="B52" s="50" t="s">
        <v>9</v>
      </c>
      <c r="C52" s="50" t="str">
        <f>+LISTADO!$H$7</f>
        <v>Juan Carlos Ramírez / Diego Mesa</v>
      </c>
      <c r="D52" s="50" t="s">
        <v>106</v>
      </c>
      <c r="E52" s="50" t="s">
        <v>107</v>
      </c>
    </row>
    <row r="53" spans="1:5" ht="45" x14ac:dyDescent="0.25">
      <c r="A53" s="50" t="s">
        <v>105</v>
      </c>
      <c r="B53" s="50" t="s">
        <v>9</v>
      </c>
      <c r="C53" s="50" t="str">
        <f>+LISTADO!$H$7</f>
        <v>Juan Carlos Ramírez / Diego Mesa</v>
      </c>
      <c r="D53" s="50" t="s">
        <v>106</v>
      </c>
      <c r="E53" s="50" t="s">
        <v>108</v>
      </c>
    </row>
    <row r="54" spans="1:5" ht="45" x14ac:dyDescent="0.25">
      <c r="A54" s="50" t="s">
        <v>105</v>
      </c>
      <c r="B54" s="50" t="s">
        <v>9</v>
      </c>
      <c r="C54" s="50" t="str">
        <f>+LISTADO!$H$7</f>
        <v>Juan Carlos Ramírez / Diego Mesa</v>
      </c>
      <c r="D54" s="50" t="s">
        <v>106</v>
      </c>
      <c r="E54" s="50" t="s">
        <v>109</v>
      </c>
    </row>
    <row r="55" spans="1:5" ht="45" x14ac:dyDescent="0.25">
      <c r="A55" s="50" t="s">
        <v>105</v>
      </c>
      <c r="B55" s="50" t="s">
        <v>9</v>
      </c>
      <c r="C55" s="50" t="str">
        <f>+LISTADO!$H$7</f>
        <v>Juan Carlos Ramírez / Diego Mesa</v>
      </c>
      <c r="D55" s="50" t="s">
        <v>106</v>
      </c>
      <c r="E55" s="50" t="s">
        <v>110</v>
      </c>
    </row>
    <row r="56" spans="1:5" ht="45" x14ac:dyDescent="0.25">
      <c r="A56" s="50" t="s">
        <v>105</v>
      </c>
      <c r="B56" s="50" t="s">
        <v>9</v>
      </c>
      <c r="C56" s="50" t="str">
        <f>+LISTADO!$H$7</f>
        <v>Juan Carlos Ramírez / Diego Mesa</v>
      </c>
      <c r="D56" s="50" t="s">
        <v>106</v>
      </c>
      <c r="E56" s="50" t="s">
        <v>111</v>
      </c>
    </row>
    <row r="57" spans="1:5" ht="45" x14ac:dyDescent="0.25">
      <c r="A57" s="50" t="s">
        <v>105</v>
      </c>
      <c r="B57" s="50" t="s">
        <v>9</v>
      </c>
      <c r="C57" s="50" t="str">
        <f>+LISTADO!$H$7</f>
        <v>Juan Carlos Ramírez / Diego Mesa</v>
      </c>
      <c r="D57" s="50" t="s">
        <v>106</v>
      </c>
      <c r="E57" s="50" t="s">
        <v>112</v>
      </c>
    </row>
    <row r="58" spans="1:5" ht="45" x14ac:dyDescent="0.25">
      <c r="A58" s="50" t="s">
        <v>105</v>
      </c>
      <c r="B58" s="50" t="s">
        <v>9</v>
      </c>
      <c r="C58" s="50" t="str">
        <f>+LISTADO!$H$7</f>
        <v>Juan Carlos Ramírez / Diego Mesa</v>
      </c>
      <c r="D58" s="50" t="s">
        <v>106</v>
      </c>
      <c r="E58" s="50" t="s">
        <v>113</v>
      </c>
    </row>
    <row r="59" spans="1:5" ht="45" x14ac:dyDescent="0.25">
      <c r="A59" s="50" t="s">
        <v>105</v>
      </c>
      <c r="B59" s="50" t="s">
        <v>9</v>
      </c>
      <c r="C59" s="50" t="str">
        <f>+LISTADO!$H$7</f>
        <v>Juan Carlos Ramírez / Diego Mesa</v>
      </c>
      <c r="D59" s="50" t="s">
        <v>106</v>
      </c>
      <c r="E59" s="50" t="s">
        <v>114</v>
      </c>
    </row>
    <row r="60" spans="1:5" ht="45" x14ac:dyDescent="0.25">
      <c r="A60" s="50" t="s">
        <v>105</v>
      </c>
      <c r="B60" s="50" t="s">
        <v>9</v>
      </c>
      <c r="C60" s="50" t="str">
        <f>+LISTADO!$H$7</f>
        <v>Juan Carlos Ramírez / Diego Mesa</v>
      </c>
      <c r="D60" s="50" t="s">
        <v>106</v>
      </c>
      <c r="E60" s="50" t="s">
        <v>115</v>
      </c>
    </row>
    <row r="61" spans="1:5" ht="45" x14ac:dyDescent="0.25">
      <c r="A61" s="50" t="s">
        <v>105</v>
      </c>
      <c r="B61" s="50" t="s">
        <v>9</v>
      </c>
      <c r="C61" s="50" t="str">
        <f>+LISTADO!$H$7</f>
        <v>Juan Carlos Ramírez / Diego Mesa</v>
      </c>
      <c r="D61" s="50" t="s">
        <v>106</v>
      </c>
      <c r="E61" s="50" t="s">
        <v>116</v>
      </c>
    </row>
    <row r="62" spans="1:5" ht="45" x14ac:dyDescent="0.25">
      <c r="A62" s="50" t="s">
        <v>117</v>
      </c>
      <c r="B62" s="50" t="s">
        <v>9</v>
      </c>
      <c r="C62" s="50" t="str">
        <f>+LISTADO!$H$7</f>
        <v>Juan Carlos Ramírez / Diego Mesa</v>
      </c>
      <c r="D62" s="50" t="s">
        <v>118</v>
      </c>
      <c r="E62" s="50" t="s">
        <v>119</v>
      </c>
    </row>
    <row r="63" spans="1:5" ht="45" x14ac:dyDescent="0.25">
      <c r="A63" s="50" t="s">
        <v>117</v>
      </c>
      <c r="B63" s="50" t="s">
        <v>9</v>
      </c>
      <c r="C63" s="50" t="str">
        <f>+LISTADO!$H$7</f>
        <v>Juan Carlos Ramírez / Diego Mesa</v>
      </c>
      <c r="D63" s="50" t="s">
        <v>118</v>
      </c>
      <c r="E63" s="50" t="s">
        <v>120</v>
      </c>
    </row>
    <row r="64" spans="1:5" ht="45" x14ac:dyDescent="0.25">
      <c r="A64" s="50" t="s">
        <v>117</v>
      </c>
      <c r="B64" s="50" t="s">
        <v>9</v>
      </c>
      <c r="C64" s="50" t="str">
        <f>+LISTADO!$H$7</f>
        <v>Juan Carlos Ramírez / Diego Mesa</v>
      </c>
      <c r="D64" s="50" t="s">
        <v>118</v>
      </c>
      <c r="E64" s="50" t="s">
        <v>121</v>
      </c>
    </row>
    <row r="65" spans="1:5" ht="45" x14ac:dyDescent="0.25">
      <c r="A65" s="50" t="s">
        <v>117</v>
      </c>
      <c r="B65" s="50" t="s">
        <v>9</v>
      </c>
      <c r="C65" s="50" t="str">
        <f>+LISTADO!$H$7</f>
        <v>Juan Carlos Ramírez / Diego Mesa</v>
      </c>
      <c r="D65" s="50" t="s">
        <v>118</v>
      </c>
      <c r="E65" s="50" t="s">
        <v>122</v>
      </c>
    </row>
    <row r="66" spans="1:5" ht="45" x14ac:dyDescent="0.25">
      <c r="A66" s="50" t="s">
        <v>117</v>
      </c>
      <c r="B66" s="50" t="s">
        <v>9</v>
      </c>
      <c r="C66" s="50" t="str">
        <f>+LISTADO!$H$7</f>
        <v>Juan Carlos Ramírez / Diego Mesa</v>
      </c>
      <c r="D66" s="50" t="s">
        <v>118</v>
      </c>
      <c r="E66" s="50" t="s">
        <v>123</v>
      </c>
    </row>
    <row r="67" spans="1:5" ht="60" x14ac:dyDescent="0.25">
      <c r="A67" s="50" t="s">
        <v>117</v>
      </c>
      <c r="B67" s="50" t="s">
        <v>9</v>
      </c>
      <c r="C67" s="50" t="str">
        <f>+LISTADO!$H$7</f>
        <v>Juan Carlos Ramírez / Diego Mesa</v>
      </c>
      <c r="D67" s="50" t="s">
        <v>118</v>
      </c>
      <c r="E67" s="50" t="s">
        <v>124</v>
      </c>
    </row>
    <row r="68" spans="1:5" ht="45" x14ac:dyDescent="0.25">
      <c r="A68" s="50" t="s">
        <v>117</v>
      </c>
      <c r="B68" s="50" t="s">
        <v>9</v>
      </c>
      <c r="C68" s="50" t="str">
        <f>+LISTADO!$H$7</f>
        <v>Juan Carlos Ramírez / Diego Mesa</v>
      </c>
      <c r="D68" s="50" t="s">
        <v>118</v>
      </c>
      <c r="E68" s="50" t="s">
        <v>125</v>
      </c>
    </row>
    <row r="69" spans="1:5" ht="45" x14ac:dyDescent="0.25">
      <c r="A69" s="50" t="s">
        <v>117</v>
      </c>
      <c r="B69" s="50" t="s">
        <v>9</v>
      </c>
      <c r="C69" s="50" t="str">
        <f>+LISTADO!$H$7</f>
        <v>Juan Carlos Ramírez / Diego Mesa</v>
      </c>
      <c r="D69" s="50" t="s">
        <v>118</v>
      </c>
      <c r="E69" s="50" t="s">
        <v>126</v>
      </c>
    </row>
    <row r="70" spans="1:5" ht="45" x14ac:dyDescent="0.25">
      <c r="A70" s="50" t="s">
        <v>117</v>
      </c>
      <c r="B70" s="50" t="s">
        <v>9</v>
      </c>
      <c r="C70" s="50" t="str">
        <f>+LISTADO!$H$7</f>
        <v>Juan Carlos Ramírez / Diego Mesa</v>
      </c>
      <c r="D70" s="50" t="s">
        <v>118</v>
      </c>
      <c r="E70" s="50" t="s">
        <v>127</v>
      </c>
    </row>
    <row r="71" spans="1:5" ht="45" x14ac:dyDescent="0.25">
      <c r="A71" s="50" t="s">
        <v>117</v>
      </c>
      <c r="B71" s="50" t="s">
        <v>9</v>
      </c>
      <c r="C71" s="50" t="str">
        <f>+LISTADO!$H$7</f>
        <v>Juan Carlos Ramírez / Diego Mesa</v>
      </c>
      <c r="D71" s="50" t="s">
        <v>118</v>
      </c>
      <c r="E71" s="50" t="s">
        <v>128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LISTADO</vt:lpstr>
      <vt:lpstr>Banco Preguntas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yesidrf@gmail.com</dc:creator>
  <cp:lastModifiedBy>Luis Octavio Arango Colorado</cp:lastModifiedBy>
  <dcterms:created xsi:type="dcterms:W3CDTF">2014-06-17T13:38:35Z</dcterms:created>
  <dcterms:modified xsi:type="dcterms:W3CDTF">2026-06-30T11:34:51Z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0x0101005529915A2A907943A8652EDE50EB40DA</vt:lpwstr>
  </property>
  <property fmtid="{D5CDD505-2E9C-101B-9397-08002B2CF9AE}" pid="3" name="Order">
    <vt:r8>3300</vt:r8>
  </property>
  <property fmtid="{D5CDD505-2E9C-101B-9397-08002B2CF9AE}" pid="4" name="MediaServiceImageTags">
    <vt:lpwstr/>
  </property>
</Properties>
</file>
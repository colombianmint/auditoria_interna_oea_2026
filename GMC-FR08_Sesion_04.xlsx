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6" documentId="11_541EFADDF5DD4D3729AF7B20F6BEEAC25ED69A20" xr6:coauthVersionLast="47" xr6:coauthVersionMax="47" xr10:uidLastSave="{B5FCD926-A2A5-4019-A12B-7549DC0535E7}"/>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<sst xmlns="http://schemas.openxmlformats.org/spreadsheetml/2006/main" count="405" uniqueCount="153">
  <si>
    <t xml:space="preserve">CI COLOMBIAN MINT </t>
  </si>
  <si>
    <t>Codigo: GMC-FR08</t>
  </si>
  <si>
    <t xml:space="preserve">   LISTADO DE VERIFICACION </t>
  </si>
  <si>
    <t>Versión:1</t>
  </si>
  <si>
    <t>Fecha de aprobación: 
01/07/2021</t>
  </si>
  <si>
    <t>1. PLANIFICACIÓN DE LA AUDITORIA</t>
  </si>
  <si>
    <t xml:space="preserve">FECHA </t>
  </si>
  <si>
    <t>2026-07-06</t>
  </si>
  <si>
    <t>PROCESO</t>
  </si>
  <si>
    <t>SRF SEGURIDAD</t>
  </si>
  <si>
    <t xml:space="preserve">AUDITOR </t>
  </si>
  <si>
    <t>Estefanía Granda</t>
  </si>
  <si>
    <t>AUDITADO</t>
  </si>
  <si>
    <t>Juan Carlos Ramírez / Diego Mesa</t>
  </si>
  <si>
    <t>DOCUMENTOS RELACIONADOS</t>
  </si>
  <si>
    <t>GMC-FR07 Plan Auditorías 2026 · Res. 015/2016 Art. 4º · GMC-FR08</t>
  </si>
  <si>
    <t>REQUISITOS</t>
  </si>
  <si>
    <t>OEA 7.1, OEA 7.2, OEA 7.3, OEA 7.4, OEA 7.5, OEA 7.6, OEA 7.7, OEA 7.8, OEA 7.9</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</si>
  <si>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</si>
  <si>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</si>
  <si>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</si>
  <si>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</si>
  <si>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</si>
  <si>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</si>
  <si>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</si>
  <si>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</si>
  <si>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</si>
  <si>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</si>
  <si>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</si>
  <si>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</si>
  <si>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</si>
  <si>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</si>
  <si>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</si>
  <si>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</si>
  <si>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</si>
  <si>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</si>
  <si>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</si>
  <si>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</si>
  <si>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</si>
  <si>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</si>
  <si>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</si>
  <si>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</si>
  <si>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</si>
  <si>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</si>
  <si>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</si>
  <si>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7.1</t>
  </si>
  <si>
    <t>Debe tener cercas o barreras perimetrales alrededor de sus instalaciones, así como barreras interiores dentro de las áreas de manejo y almacenamiento de carga, para los diferentes tipos de mercancías.</t>
  </si>
  <si>
    <t>¿Adjunte una fotografía panorámica o satelital que evidencie las barras perimetrales exteriores. ¿Qué registros o documentos (SRF-GU09 (Política de seguridad de la cadena de suministro), SRF-MT01 (Matriz de áreas críticas)) demuestran el cumplimiento de lo solicitado?</t>
  </si>
  <si>
    <t>¿Adjunte un plano de las instalaciones que identifique las barras perimetrales interiores y lugares de almacenamiento de la carga. ¿Qué registros o documentos (SRF-GU09 (Política de seguridad de la cadena de suministro), SRF-MT01 (Matriz de áreas críticas)) demuestran el cumplimiento de lo solicitado?</t>
  </si>
  <si>
    <t>¿Adjunte evidencias fotográficas de todas las barreras indicando el estado, tipo de protección y control que ejerce para garantizar la seguridad de las instalaciones. ¿Qué registros o documentos (SRF-PL01 (Plan de Gestión de Seguridad y Protección), SRF-FR13 (Acta de seguridad y protección)) demuestran el cumplimiento de lo solicitado?</t>
  </si>
  <si>
    <t>¿según criterios de auditoría OEA (ISO 19011) para el requisito OEA 7.1: Planos arquitectónicos de las instalaciones con ubicación de cercas y barreras. ¿Qué evidencia objetiva presenta el auditado? Documentos de referencia: SRF-GU09 (Política de seguridad de la cadena de suministro), SRF-MT01 (Matriz de áreas críticas)?</t>
  </si>
  <si>
    <t>¿según criterios de auditoría OEA (ISO 19011) para el requisito OEA 7.1: Registro de inspección periódica de cercas y controles. ¿Qué evidencia objetiva presenta el auditado? Documentos de referencia: SRF-FR04 (Inspección física), SRF-GU09 (Política de seguridad de la cadena de suministro)?</t>
  </si>
  <si>
    <t>¿según criterios de auditoría OEA (ISO 19011) para el requisito OEA 7.1: Plan de seguridad física de las instalaciones, incluyendo planos, ubicación de CCTV, sistemas de alarma, e iluminación, y evidencia de su monitoreo y mantenimiento. ¿Qué evidencia objetiva presenta el auditado? Documentos de referencia: SRF-GU04 (Guía para la seguridad física), SRF-PL01 (Plan de Gestión de Seguridad y Protección)?</t>
  </si>
  <si>
    <t>¿Verifique el documento SRF-GU06 (Política de gestión en seguridad). ¿Está vigente, identificado en el SGD, aprobado por la autoridad competente y en aplicación para el requisito OEA 7.1?</t>
  </si>
  <si>
    <t>¿en la auditoría ARCA (marzo 2025) se registró respecto a OEA 7.1: "Se describieron las instalaciones CM propias y las de asociados de negocio como Quintana y las bodegas en Cartagena y Barrancabermeja. Se mencionó el almacenamiento en estanterías, perímetros cercados y acceso a CCTV". ¿Cuál es el estado actual de las acciones correctivas y su verificación efectiva? Evidencia de cierre sugerida: SRF-GU09 (Política de seguridad de la cadena de suministro)?</t>
  </si>
  <si>
    <t>¿El requisito OEA 7.1 exige: "Debe tener cercas o barreras perimetrales alrededor de sus instalaciones, así como barreras interiores dentro de las áreas de manejo y almacenamiento de carga, para los diferentes ." ¿Qué controles operativos y registros demuestran su cumplimiento sostenido en Colombian Mint?</t>
  </si>
  <si>
    <t>¿El personal entrevistado conoce los requisitos de OEA 7.1 y su responsabilidad en el cumplimiento? Solicite evidencia de socialización, inducción o capacitación?</t>
  </si>
  <si>
    <t>OEA 7.2</t>
  </si>
  <si>
    <t>Debe garantizar que todas las puertas, ventanas, cercas y barreras interiores y exteriores se encuentren aseguradas, e inspeccionarlas para verificar su integridad e identificar daños, dejando registro de la misma.</t>
  </si>
  <si>
    <t>¿Relacione la lista de chequeo para las revistas del estado de todas las puertas, ventanas, cercas y barreras interiores y exteriores. ¿Qué registros o documentos (SRF-FR15 (Lista de chequeo cierre de instalaciones), SRF-PR01 (Procedimiento Seguridad y Riesgos Físicos)) demuestran el cumplimiento de lo solicitado?</t>
  </si>
  <si>
    <t>¿Indique la periodicidad con la que se realiza el control de funcionamiento y estado de todas las puertas, ventanas, cercas y barreras interiores y exteriores. Para sustentar, presente evidencia documental vigente de Colombian Mint, tales como: SRF-PR01 (Procedimiento Seguridad y Riesgos Físicos), SRF-FR15 (Lista de chequeo cierre de instalaciones)?</t>
  </si>
  <si>
    <t>¿Adjunte la última orden de mantenimiento de las puertas ventanas, cercas y barreras interiores y exteriores. ¿Qué registros o documentos (MTO-FR07 (Formato Orden de Trabajo Mantenimiento), SRF-PR01 (Procedimiento Seguridad y Riesgos Físicos)) demuestran el cumplimiento de lo solicitado?</t>
  </si>
  <si>
    <t>¿según criterios de auditoría OEA (ISO 19011) para el requisito OEA 7.2: Listado de puntos de acceso con mecanismos de aseguramiento (cerraduras, candados, sensores). ¿Qué evidencia objetiva presenta el auditado? Documentos de referencia: SRF-PR01 (Procedimiento Seguridad y Riesgos Físicos), SRF-FR15 (Lista de chequeo cierre de instalaciones)?</t>
  </si>
  <si>
    <t>¿según criterios de auditoría OEA (ISO 19011) para el requisito OEA 7.2: Formatos de inspección física con fechas y observaciones. ¿Qué evidencia objetiva presenta el auditado? Documentos de referencia: SRF-FR04 (Inspección física), SRF-PR01 (Procedimiento Seguridad y Riesgos Físicos)?</t>
  </si>
  <si>
    <t>¿según criterios de auditoría OEA (ISO 19011) para el requisito OEA 7.2: Reportes de mantenimiento correctivo y preventivo. ¿Qué evidencia objetiva presenta el auditado? Documentos de referencia: SRF-PR01 (Procedimiento Seguridad y Riesgos Físicos), MTO-FR07 (Formato Orden de Trabajo Mantenimiento)?</t>
  </si>
  <si>
    <t>¿Verifique el documento SRF-GU04 (Guía para la seguridad física). ¿Está vigente, identificado en el SGD, aprobado por la autoridad competente y en aplicación para el requisito OEA 7.2?</t>
  </si>
  <si>
    <t>¿El requisito OEA 7.2 exige: "Debe garantizar que todas las puertas, ventanas, cercas y barreras interiores y exteriores se encuentren aseguradas, e inspeccionarlas para verificar su integridad e identificar da." ¿Qué controles operativos y registros demuestran su cumplimiento sostenido en Colombian Mint?</t>
  </si>
  <si>
    <t>¿Presente el SRF-FR13 y sus registros asociados. ¿Con qué periodicidad se actualiza, quién es el responsable y cómo se evidencia su aplicación al requisito OEA 7.2?</t>
  </si>
  <si>
    <t>¿El personal entrevistado conoce los requisitos de OEA 7.2 y su responsabilidad en el cumplimiento? Solicite evidencia de socialización, inducción o capacitación?</t>
  </si>
  <si>
    <t>OEA 7.3</t>
  </si>
  <si>
    <t>Debe prohibir el estacionamiento de vehículos de personal vinculado y de visitantes dentro de las áreas de manejo y almacenamiento de carga o en áreas adyacentes a la entrada o salida de las mismas.</t>
  </si>
  <si>
    <t>¿Relacione procedimiento documentado, formatos diligenciados, registro fotográfico y plano donde se evidencie las zonas de parqueadero de vehículos visitantes de carga y empleados. Para sustentar, presente evidencia documental vigente de Colombian Mint, tales como: SRF-GU01 (Guía de ingreso de vehículos al parqueadero), SRF-GU02 (Guía de protocolos de seguridad de ingreso externo)?</t>
  </si>
  <si>
    <t>¿debe contar con señalización en estas áreas las cuales indique la prohibición del estacionamiento de vehículos de personal vinculado y de visitantes. Para sustentar, presente evidencia documental vigente de Colombian Mint, tales como: SRF-GU01 (Guía de ingreso de vehículos al parqueadero), SRF-GU02 (Guía de protocolos de seguridad de ingreso externo)?</t>
  </si>
  <si>
    <t>¿según criterios de auditoría OEA (ISO 19011) para el requisito OEA 7.3: Política o instructivo de estacionamiento interno. ¿Qué evidencia objetiva presenta el auditado? Documentos de referencia: SRF-GU06 (Política de gestión en seguridad), SRF-IN02 (Instructivo del Software de control de ingreso versión 568)?</t>
  </si>
  <si>
    <t>¿según criterios de auditoría OEA (ISO 19011) para el requisito OEA 7.3: Señalización visible (fotografías). ¿Qué evidencia objetiva presenta el auditado? Documentos de referencia: SRF-GU01 (Guía de ingreso de vehículos al parqueadero), SRF-GU02 (Guía de protocolos de seguridad de ingreso externo)?</t>
  </si>
  <si>
    <t>¿según criterios de auditoría OEA (ISO 19011) para el requisito OEA 7.3: Procedimientos de control de acceso vehicular. ¿Qué evidencia objetiva presenta el auditado? Documentos de referencia: SRF-IN02 (Instructivo del Software de control de ingreso versión 568), SRF-GU01 (Guía de ingreso de vehículos al parqueadero)?</t>
  </si>
  <si>
    <t>¿Verifique el documento SRF-GU04 (Guía para la seguridad física). ¿Está vigente, identificado en el SGD, aprobado por la autoridad competente y en aplicación para el requisito OEA 7.3?</t>
  </si>
  <si>
    <t>¿El requisito OEA 7.3 exige: "Debe prohibir el estacionamiento de vehículos de personal vinculado y de visitantes dentro de las áreas de manejo y almacenamiento de carga o en áreas adyacentes a la entrada o sal." ¿Qué controles operativos y registros demuestran su cumplimiento sostenido en Colombian Mint?</t>
  </si>
  <si>
    <t>¿Presente el SRF-GU17 y sus registros asociados. ¿Con qué periodicidad se actualiza, quién es el responsable y cómo se evidencia su aplicación al requisito OEA 7.3?</t>
  </si>
  <si>
    <t>¿El personal entrevistado conoce los requisitos de OEA 7.3 y su responsabilidad en el cumplimiento? Solicite evidencia de socialización, inducción o capacitación?</t>
  </si>
  <si>
    <t>¿Existen indicadores o métricas definidos para verificar la eficacia de los controles del requisito OEA 7.3? Presente resultados del último periodo evaluado?</t>
  </si>
  <si>
    <t>OEA 7.4</t>
  </si>
  <si>
    <t>Debe garantizar que las instalaciones han sido construidas con materiales que resistan la entrada forzada.</t>
  </si>
  <si>
    <t>¿debe garantizar que las instalaciones han sido construidas con materiales que resistan la entrada forzada. ¿Qué registros o documentos (SRF-MT01 (Matriz de áreas críticas), SRF-PL01 (Plan de Gestión de Seguridad y Protección)) demuestran el cumplimiento de lo solicitado?</t>
  </si>
  <si>
    <t>¿se debe especificar los materiales y características constructivas de las instalaciones, detallando aquellos elementos clave que aseguran su resistencia y funcionalidad. ¿Qué registros o documentos (SRF-MT01 (Matriz de áreas críticas), SRF-PL01 (Plan de Gestión de Seguridad y Protección)) demuestran el cumplimiento de lo solicitado?</t>
  </si>
  <si>
    <t>¿según criterios de auditoría OEA (ISO 19011) para el requisito OEA 7.4: Certificados o memorias de construcción de obra civil. ¿Qué evidencia objetiva presenta el auditado? Documentos de referencia: SRF-MT01 (Matriz de áreas críticas), SRF-PL01 (Plan de Gestión de Seguridad y Protección)?</t>
  </si>
  <si>
    <t>¿según criterios de auditoría OEA (ISO 19011) para el requisito OEA 7.4: Inspección técnica o informe de seguridad estructural. ¿Qué evidencia objetiva presenta el auditado? Documentos de referencia: SRF-FR04 (Inspección física), SRF-PL01 (Plan de Gestión de Seguridad y Protección)?</t>
  </si>
  <si>
    <t>¿Verifique el documento SRF-GU04 (Guía para la seguridad física). ¿Está vigente, identificado en el SGD, aprobado por la autoridad competente y en aplicación para el requisito OEA 7.4?</t>
  </si>
  <si>
    <t>¿El requisito OEA 7.4 exige: "Debe garantizar que las instalaciones han sido construidas con materiales que resistan la entrada forzada." ¿Qué controles operativos y registros demuestran su cumplimiento sostenido en Colombian Mint?</t>
  </si>
  <si>
    <t>¿Presente el SRF-GU06 y sus registros asociados. ¿Con qué periodicidad se actualiza, quién es el responsable y cómo se evidencia su aplicación al requisito OEA 7.4?</t>
  </si>
  <si>
    <t>¿El personal entrevistado conoce los requisitos de OEA 7.4 y su responsabilidad en el cumplimiento? Solicite evidencia de socialización, inducción o capacitación?</t>
  </si>
  <si>
    <t>¿Existen indicadores o métricas definidos para verificar la eficacia de los controles del requisito OEA 7.4? Presente resultados del último periodo evaluado?</t>
  </si>
  <si>
    <t>¿Se han realizado revisiones por la dirección, auditorías internas o inspecciones sobre el requisito OEA 7.4 en los últimos 12 meses?</t>
  </si>
  <si>
    <t>OEA 7.5</t>
  </si>
  <si>
    <t>Debe disponer de señalización e iluminación adecuadas dentro y fuera de las instalaciones, especialmente en entradas y salidas, áreas de manejo, inspección y almacenamiento de carga, cercas y barreras perimetrales y áreas de estacionamiento.</t>
  </si>
  <si>
    <t>¿Adjunte videos de fechas anteriores tomados por el CCTV en horas de la noche, para verificar señalización e iluminación adecuada dentro y fuera de las instalaciones, especialmente en entradas y salidas, áreas de manejo, almacenamiento, inspección o aforo de carga, cercas, barreras perimetrales y áreas de estacionamiento. ¿Qué registros o documentos (SRF-FR04 (Inspección física), SRF-GU10 (Guía seguridad y protección para manejo y control de CCTV)) demuestran el cumplimiento de lo solicitado?</t>
  </si>
  <si>
    <t>¿según criterios de auditoría OEA (ISO 19011) para el requisito OEA 7.5: Plan de iluminación con ubicación de luminarias. ¿Qué evidencia objetiva presenta el auditado? Documentos de referencia: SRF-PL01 (Plan de Gestión de Seguridad y Protección), MTO-MT01 (Matriz Registros de Mantenimiento)?</t>
  </si>
  <si>
    <t>¿según criterios de auditoría OEA (ISO 19011) para el requisito OEA 7.5: Fotografías de señalización visible y luminarias instaladas. ¿Qué evidencia objetiva presenta el auditado? Documentos de referencia: MTO-MT01 (Matriz Registros de Mantenimiento), SRF-FR04 (Inspección física)?</t>
  </si>
  <si>
    <t>¿según criterios de auditoría OEA (ISO 19011) para el requisito OEA 7.5: Informes de las visitas de seguridad a las instalaciones de asociados de negocio críticos, verificando sus controles de seguridad física. ¿Qué evidencia objetiva presenta el auditado? Documentos de referencia: SRF-GU04 (Guía para la seguridad física), SRF-PL01 (Plan de Gestión de Seguridad y Protección)?</t>
  </si>
  <si>
    <t>¿Verifique el documento SRF-GU06 (Política de gestión en seguridad). ¿Está vigente, identificado en el SGD, aprobado por la autoridad competente y en aplicación para el requisito OEA 7.5?</t>
  </si>
  <si>
    <t>¿en la auditoría ARCA (marzo 2025) se registró respecto a OEA 7.5: "Se describieron las instalaciones CM propias y las de asociados de negocio como Quintana y las bodegas en Cartagena y Barrancabermeja. Se mencionó el almacenamiento en estanterías, perímetros cercados y acceso a CCTV". ¿Cuál es el estado actual de las acciones correctivas y su verificación efectiva? Evidencia de cierre sugerida: MTO-MT01 (Matriz Registros de Mantenimiento)?</t>
  </si>
  <si>
    <t>¿El requisito OEA 7.5 exige: "Debe disponer de señalización e iluminación adecuadas dentro y fuera de las instalaciones, especialmente en entradas y salidas, áreas de manejo, inspección y almacenamiento de carg." ¿Qué controles operativos y registros demuestran su cumplimiento sostenido en Colombian Mint?</t>
  </si>
  <si>
    <t>¿El personal entrevistado conoce los requisitos de OEA 7.5 y su responsabilidad en el cumplimiento? Solicite evidencia de socialización, inducción o capacitación?</t>
  </si>
  <si>
    <t>¿Existen indicadores o métricas definidos para verificar la eficacia de los controles del requisito OEA 7.5? Presente resultados del último periodo evaluado?</t>
  </si>
  <si>
    <t>¿Se han realizado revisiones por la dirección, auditorías internas o inspecciones sobre el requisito OEA 7.5 en los últimos 12 meses?</t>
  </si>
  <si>
    <t>OEA 7.6</t>
  </si>
  <si>
    <t>Debe tener un servicio de vigilancia y seguridad propio o contratado con una empresa competente y debidamente autorizada, que garantice una acción de respuesta oportuna y disponibilidad durante las 24 horas del día.</t>
  </si>
  <si>
    <t>¿Indique la empresa de vigilancia que presta el servicio de seguridad y anexe la resolución de funcionamiento. Para sustentar, presente evidencia documental vigente de Colombian Mint, tales como: SRF-PR01 (Procedimiento Seguridad y Riesgos Físicos), SRF-GU09 (Política de seguridad de la cadena de suministro)?</t>
  </si>
  <si>
    <t>¿extraiga del contrato de prestación de servicios las actividades funciones y obligaciones de la empresa de vigilancia. ¿Qué registros o documentos (SRF-PR01 (Procedimiento Seguridad y Riesgos Físicos), SRF-GU09 (Política de seguridad de la cadena de suministro)) demuestran el cumplimiento de lo solicitado?</t>
  </si>
  <si>
    <t>¿Relacione las hojas de vida del personal que presta el servicio de vigilancia e indique la función de cada una dentro de las instalaciones de la empresa. Para sustentar, presente evidencia documental vigente de Colombian Mint, tales como: SRF-PR01 (Procedimiento Seguridad y Riesgos Físicos), SRF-GU09 (Política de seguridad de la cadena de suministro)?</t>
  </si>
  <si>
    <t>¿del contrato de prestación de servicio con la empresa de vigilancia indique la cantidad de funcionarios contratados para la prestación de servicios y horarios. Para sustentar, presente evidencia documental vigente de Colombian Mint, tales como: SRF-PR01 (Procedimiento Seguridad y Riesgos Físicos), SRF-GU09 (Política de seguridad de la cadena de suministro)?</t>
  </si>
  <si>
    <t>¿según criterios de auditoría OEA (ISO 19011) para el requisito OEA 7.6: Contrato con empresa de vigilancia autorizada por la SuperVigilancia. ¿Qué evidencia objetiva presenta el auditado? Documentos de referencia: SRF-PR01 (Procedimiento Seguridad y Riesgos Físicos), SRF-GU09 (Política de seguridad de la cadena de suministro)?</t>
  </si>
  <si>
    <t>¿según criterios de auditoría OEA (ISO 19011) para el requisito OEA 7.6: Plan de seguridad con funciones y turnos. ¿Qué evidencia objetiva presenta el auditado? Documentos de referencia: SRF-PR01 (Procedimiento Seguridad y Riesgos Físicos), SRF-PL01 (Plan de Gestión de Seguridad y Protección)?</t>
  </si>
  <si>
    <t>¿según criterios de auditoría OEA (ISO 19011) para el requisito OEA 7.6: Plan de seguridad física de las instalaciones, incluyendo planos, ubicación de CCTV, sistemas de alarma, e iluminación, y evidencia de su monitoreo y mantenimiento. ¿Qué evidencia objetiva presenta el auditado? Documentos de referencia: SRF-PR01 (Procedimiento Seguridad y Riesgos Físicos), SRF-GU04 (Guía para la seguridad física)?</t>
  </si>
  <si>
    <t>¿según criterios de auditoría OEA (ISO 19011) para el requisito OEA 7.6: Informes de las visitas de seguridad a las instalaciones de asociados de negocio críticos, verificando sus controles de seguridad física. ¿Qué evidencia objetiva presenta el auditado? Documentos de referencia: SRF-PR01 (Procedimiento Seguridad y Riesgos Físicos), SRF-GU04 (Guía para la seguridad física)?</t>
  </si>
  <si>
    <t>¿Verifique el documento SRF-GU06 (Política de gestión en seguridad). ¿Está vigente, identificado en el SGD, aprobado por la autoridad competente y en aplicación para el requisito OEA 7.6?</t>
  </si>
  <si>
    <t>¿Verifique el documento SRF-GU05 (Protocolo de eventos inesperados). ¿Está vigente, identificado en el SGD, aprobado por la autoridad competente y en aplicación para el requisito OEA 7.6?</t>
  </si>
  <si>
    <t>OEA 7.7</t>
  </si>
  <si>
    <t>Debe disponer de un plano de su planta física en el que se identifiquen claramente las áreas críticas de la empresa y se divulgue el plan de evacuación y emergencias.</t>
  </si>
  <si>
    <t>¿Relacione el plano con cada una de las áreas críticas de la empresa. ¿Qué registros o documentos (SRF-MT01 (Matriz de áreas críticas), SRF-PL01 (Plan de Gestión de Seguridad y Protección)) demuestran el cumplimiento de lo solicitado?</t>
  </si>
  <si>
    <t>¿según criterios de auditoría OEA (ISO 19011) para el requisito OEA 7.7: Organigrama de la empresa. ¿Qué evidencia objetiva presenta el auditado? Documentos de referencia: GPE-DC02 (Organigrama General), SRF-MT01 (Matriz de áreas críticas)?</t>
  </si>
  <si>
    <t>¿según criterios de auditoría OEA (ISO 19011) para el requisito OEA 7.7: Evidencia de cumplimiento de normativas de salud y seguridad en el trabajo. ¿Qué evidencia objetiva presenta el auditado? Documentos de referencia: SRF-PL01 (Plan de Gestión de Seguridad y Protección), SRF-GU04 (Guía para la seguridad física)?</t>
  </si>
  <si>
    <t>¿Verifique el documento SST-PL04 (Plan para la Prevención Preparación y Respuesta de Emergencias). ¿Está vigente, identificado en el SGD, aprobado por la autoridad competente y en aplicación para el requisito OEA 7.7?</t>
  </si>
  <si>
    <t>¿Verifique el documento SST-FR14 (Estructuración de Grupos de Apoyo para Emergencias). ¿Está vigente, identificado en el SGD, aprobado por la autoridad competente y en aplicación para el requisito OEA 7.7?</t>
  </si>
  <si>
    <t>¿El requisito OEA 7.7 exige: "Debe disponer de un plano de su planta física en el que se identifiquen claramente las áreas críticas de la empresa y se divulgue el plan de evacuación y emergencias." ¿Qué controles operativos y registros demuestran su cumplimiento sostenido en Colombian Mint?</t>
  </si>
  <si>
    <t>¿Presente el SST-PL15 y sus registros asociados. ¿Con qué periodicidad se actualiza, quién es el responsable y cómo se evidencia su aplicación al requisito OEA 7.7?</t>
  </si>
  <si>
    <t>¿El personal entrevistado conoce los requisitos de OEA 7.7 y su responsabilidad en el cumplimiento? Solicite evidencia de socialización, inducción o capacitación?</t>
  </si>
  <si>
    <t>¿Existen indicadores o métricas definidos para verificar la eficacia de los controles del requisito OEA 7.7? Presente resultados del último periodo evaluado?</t>
  </si>
  <si>
    <t>¿Se han realizado revisiones por la dirección, auditorías internas o inspecciones sobre el requisito OEA 7.7 en los últimos 12 meses?</t>
  </si>
  <si>
    <t>OEA 7.8</t>
  </si>
  <si>
    <t>Debe disponer y controlar las áreas destinadas para casilleros, vestieres o similares y separarlas de las áreas críticas de la empresa.</t>
  </si>
  <si>
    <t>¿Mencione el mecanismo utilizado para registrar el control de las áreas descritas y separarlas de las áreas críticas. Para sustentar, presente evidencia documental vigente de Colombian Mint, tales como: SRF-FR08 (Control de ingreso áreas críticas), SRF-FR21 (Matriz Asignación de Acceso Áreas Críticas - Horario Diurno/Nocturno)?</t>
  </si>
  <si>
    <t>¿Cuenta con un procedimiento o instructivo donde describa los lineamientos para controlar las áreas descritas en el requisito y separarlas de las áreas críticas? Indique la ubicación en el documento (numeral, ítem, párrafos, página, etc.) Indique versión, fecha e identificación en el SGD. Para sustentar, presente evidencia documental vigente de Colombian Mint, tales como: SRF-FR21 (Matriz Asignación de Acceso Áreas Críticas - Horario Diurno/Nocturno), SRF-MT01 (Matriz de áreas críticas)?</t>
  </si>
  <si>
    <t>¿Cuenta con un formato, registro, o sistema donde se evidencie el control implementado. ¿Qué registros o documentos (SRF-FR08 (Control de ingreso áreas críticas), SRF-PR01 (Procedimiento Seguridad y Riesgos Físicos)) demuestran el cumplimiento de lo solicitado?</t>
  </si>
  <si>
    <t>¿Relacione las evidencias de implementación (Ej. Procedimiento(s), instructivo(s), manual (s), formatos, plantillas captura de pantalla del sistema, correos, registros fílmicos, etc.). Para sustentar, presente evidencia documental vigente de Colombian Mint, tales como: SRF-PR01 (Procedimiento Seguridad y Riesgos Físicos), SRF-FR21 (Matriz Asignación de Acceso Áreas Críticas - Horario Diurno/Nocturno)?</t>
  </si>
  <si>
    <t>¿Verifique el documento SRF-GU04 (Guía para la seguridad física). ¿Está vigente, identificado en el SGD, aprobado por la autoridad competente y en aplicación para el requisito OEA 7.8?</t>
  </si>
  <si>
    <t>¿El requisito OEA 7.8 exige: "Debe disponer y controlar las áreas destinadas para casilleros, vestieres o similares y separarlas de las áreas críticas de la empresa." ¿Qué controles operativos y registros demuestran su cumplimiento sostenido en Colombian Mint?</t>
  </si>
  <si>
    <t>¿Presente el SRF-GU06 y sus registros asociados. ¿Con qué periodicidad se actualiza, quién es el responsable y cómo se evidencia su aplicación al requisito OEA 7.8?</t>
  </si>
  <si>
    <t>¿El personal entrevistado conoce los requisitos de OEA 7.8 y su responsabilidad en el cumplimiento? Solicite evidencia de socialización, inducción o capacitación?</t>
  </si>
  <si>
    <t>¿Existen indicadores o métricas definidos para verificar la eficacia de los controles del requisito OEA 7.8? Presente resultados del último periodo evaluado?</t>
  </si>
  <si>
    <t>¿Se han realizado revisiones por la dirección, auditorías internas o inspecciones sobre el requisito OEA 7.8 en los últimos 12 meses?</t>
  </si>
  <si>
    <t>OEA 7.9</t>
  </si>
  <si>
    <t>Debe disponer de una infraestructura física, administrativa y de recurso humano que permita ejercer de manera adecuada su actividad.</t>
  </si>
  <si>
    <t>¿Relacione en un documento(s) donde se evidencie la disposición de la estructura física, administrativa y el recurso humano con que cuenta la organización. Para sustentar, presente evidencia documental vigente de Colombian Mint, tales como: SRF-PR01 (Procedimiento Seguridad y Riesgos Físicos), SRF-CA01 (Caracterización seguridad y riesgos físicos)?</t>
  </si>
  <si>
    <t>¿Relacione las evidencias de implementación (Ej. Documentos, planos, matrices, organigrama, captura de pantalla del sistema, etc.). Para sustentar, presente evidencia documental vigente de Colombian Mint, tales como: SRF-PR01 (Procedimiento Seguridad y Riesgos Físicos), SRF-CA01 (Caracterización seguridad y riesgos físicos)?</t>
  </si>
  <si>
    <t>¿Verifique el documento SRF-PL01 (Plan de Gestión de Seguridad y Protección). ¿Está vigente, identificado en el SGD, aprobado por la autoridad competente y en aplicación para el requisito OEA 7.9?</t>
  </si>
  <si>
    <t>¿El requisito OEA 7.9 exige: "Debe disponer de una infraestructura física, administrativa y de recurso humano que permita ejercer de manera adecuada su actividad." ¿Qué controles operativos y registros demuestran su cumplimiento sostenido en Colombian Mint?</t>
  </si>
  <si>
    <t>¿Presente el GPE-DC02 y sus registros asociados. ¿Con qué periodicidad se actualiza, quién es el responsable y cómo se evidencia su aplicación al requisito OEA 7.9?</t>
  </si>
  <si>
    <t>¿El personal entrevistado conoce los requisitos de OEA 7.9 y su responsabilidad en el cumplimiento? Solicite evidencia de socialización, inducción o capacitación?</t>
  </si>
  <si>
    <t>¿Existen indicadores o métricas definidos para verificar la eficacia de los controles del requisito OEA 7.9? Presente resultados del último periodo evaluado?</t>
  </si>
  <si>
    <t>¿Se han realizado revisiones por la dirección, auditorías internas o inspecciones sobre el requisito OEA 7.9 en los últimos 12 meses?</t>
  </si>
  <si>
    <t>¿El personal entrevistado conoce su rol y responsabilidad frente al requisito OEA 7.9? Solicite evidencia de socialización o capacitación?</t>
  </si>
  <si>
    <t>¿Los procedimientos asociados al requisito OEA 7.9 se encuentran actualizados, aprobados e identificados en el SGD?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</si>
</sst>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218A8-69D1-4B71-AF1C-8148768D7964}" name="Tabla1" displayName="Tabla1" ref="A1:E91" totalsRowShown="0" headerRowDxfId="1" dataDxfId="0" headerRowBorderDxfId="7" tableBorderDxfId="8">
  <autoFilter ref="A1:E91" xr:uid="{979218A8-69D1-4B71-AF1C-8148768D7964}"/>
  <tableColumns count="5">
    <tableColumn id="1" xr3:uid="{F80BCC44-A400-4B19-8FFF-3BE200DD60D1}" name="Requisito" dataDxfId="6"/>
    <tableColumn id="2" xr3:uid="{F91D18F6-4227-409E-9A76-A8C438F7B07F}" name="Proceso" dataDxfId="5"/>
    <tableColumn id="3" xr3:uid="{0DADCBD0-3F42-4684-979C-DC3DADF7421B}" name="Responsable" dataDxfId="4">
      <calculatedColumnFormula>+LISTADO!$H$7</calculatedColumnFormula>
    </tableColumn>
    <tableColumn id="4" xr3:uid="{71C9FF6E-2605-47F3-B7D6-4345503F240E}" name="Descripción del requisito" dataDxfId="3"/>
    <tableColumn id="5" xr3:uid="{E1A05A80-8B86-43F2-A966-E5552C900293}"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6"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abSelected="1" workbookViewId="0">
      <selection activeCell="D4" sqref="D4"/>
    </sheetView>
  </sheetViews>
  <sheetFormatPr baseColWidth="10" defaultColWidth="9.140625" defaultRowHeight="15" x14ac:dyDescent="0.25"/>
  <cols>
    <col min="1" max="1" width="8.42578125" customWidth="1"/>
    <col min="2" max="2" width="15.42578125" customWidth="1"/>
    <col min="3" max="3" width="18.85546875" customWidth="1"/>
    <col min="4" max="4" width="66.140625" customWidth="1"/>
    <col min="5" max="5" width="114.7109375" customWidth="1"/>
  </cols>
  <sheetData>
    <row r="1" spans="1:5" ht="24" x14ac:dyDescent="0.25">
      <c r="A1" s="48" t="s">
        <v>40</v>
      </c>
      <c r="B1" s="48" t="s">
        <v>41</v>
      </c>
      <c r="C1" s="48" t="s">
        <v>42</v>
      </c>
      <c r="D1" s="48" t="s">
        <v>43</v>
      </c>
      <c r="E1" s="49" t="s">
        <v>44</v>
      </c>
    </row>
    <row r="2" spans="1:5" ht="60" x14ac:dyDescent="0.25">
      <c r="A2" s="50" t="s">
        <v>45</v>
      </c>
      <c r="B2" s="50" t="s">
        <v>9</v>
      </c>
      <c r="C2" s="50" t="str">
        <f>+LISTADO!$H$7</f>
        <v>Juan Carlos Ramírez / Diego Mesa</v>
      </c>
      <c r="D2" s="50" t="s">
        <v>46</v>
      </c>
      <c r="E2" s="50" t="s">
        <v>47</v>
      </c>
    </row>
    <row r="3" spans="1:5" ht="60" x14ac:dyDescent="0.25">
      <c r="A3" s="50" t="s">
        <v>45</v>
      </c>
      <c r="B3" s="50" t="s">
        <v>9</v>
      </c>
      <c r="C3" s="50" t="str">
        <f>+LISTADO!$H$7</f>
        <v>Juan Carlos Ramírez / Diego Mesa</v>
      </c>
      <c r="D3" s="50" t="s">
        <v>46</v>
      </c>
      <c r="E3" s="50" t="s">
        <v>48</v>
      </c>
    </row>
    <row r="4" spans="1:5" ht="60" x14ac:dyDescent="0.25">
      <c r="A4" s="50" t="s">
        <v>45</v>
      </c>
      <c r="B4" s="50" t="s">
        <v>9</v>
      </c>
      <c r="C4" s="50" t="str">
        <f>+LISTADO!$H$7</f>
        <v>Juan Carlos Ramírez / Diego Mesa</v>
      </c>
      <c r="D4" s="50" t="s">
        <v>46</v>
      </c>
      <c r="E4" s="50" t="s">
        <v>49</v>
      </c>
    </row>
    <row r="5" spans="1:5" ht="60" x14ac:dyDescent="0.25">
      <c r="A5" s="50" t="s">
        <v>45</v>
      </c>
      <c r="B5" s="50" t="s">
        <v>9</v>
      </c>
      <c r="C5" s="50" t="str">
        <f>+LISTADO!$H$7</f>
        <v>Juan Carlos Ramírez / Diego Mesa</v>
      </c>
      <c r="D5" s="50" t="s">
        <v>46</v>
      </c>
      <c r="E5" s="50" t="s">
        <v>50</v>
      </c>
    </row>
    <row r="6" spans="1:5" ht="60" x14ac:dyDescent="0.25">
      <c r="A6" s="50" t="s">
        <v>45</v>
      </c>
      <c r="B6" s="50" t="s">
        <v>9</v>
      </c>
      <c r="C6" s="50" t="str">
        <f>+LISTADO!$H$7</f>
        <v>Juan Carlos Ramírez / Diego Mesa</v>
      </c>
      <c r="D6" s="50" t="s">
        <v>46</v>
      </c>
      <c r="E6" s="50" t="s">
        <v>51</v>
      </c>
    </row>
    <row r="7" spans="1:5" ht="60" x14ac:dyDescent="0.25">
      <c r="A7" s="50" t="s">
        <v>45</v>
      </c>
      <c r="B7" s="50" t="s">
        <v>9</v>
      </c>
      <c r="C7" s="50" t="str">
        <f>+LISTADO!$H$7</f>
        <v>Juan Carlos Ramírez / Diego Mesa</v>
      </c>
      <c r="D7" s="50" t="s">
        <v>46</v>
      </c>
      <c r="E7" s="50" t="s">
        <v>52</v>
      </c>
    </row>
    <row r="8" spans="1:5" ht="60" x14ac:dyDescent="0.25">
      <c r="A8" s="50" t="s">
        <v>45</v>
      </c>
      <c r="B8" s="50" t="s">
        <v>9</v>
      </c>
      <c r="C8" s="50" t="str">
        <f>+LISTADO!$H$7</f>
        <v>Juan Carlos Ramírez / Diego Mesa</v>
      </c>
      <c r="D8" s="50" t="s">
        <v>46</v>
      </c>
      <c r="E8" s="50" t="s">
        <v>53</v>
      </c>
    </row>
    <row r="9" spans="1:5" ht="60" x14ac:dyDescent="0.25">
      <c r="A9" s="50" t="s">
        <v>45</v>
      </c>
      <c r="B9" s="50" t="s">
        <v>9</v>
      </c>
      <c r="C9" s="50" t="str">
        <f>+LISTADO!$H$7</f>
        <v>Juan Carlos Ramírez / Diego Mesa</v>
      </c>
      <c r="D9" s="50" t="s">
        <v>46</v>
      </c>
      <c r="E9" s="50" t="s">
        <v>54</v>
      </c>
    </row>
    <row r="10" spans="1:5" ht="60" x14ac:dyDescent="0.25">
      <c r="A10" s="50" t="s">
        <v>45</v>
      </c>
      <c r="B10" s="50" t="s">
        <v>9</v>
      </c>
      <c r="C10" s="50" t="str">
        <f>+LISTADO!$H$7</f>
        <v>Juan Carlos Ramírez / Diego Mesa</v>
      </c>
      <c r="D10" s="50" t="s">
        <v>46</v>
      </c>
      <c r="E10" s="50" t="s">
        <v>55</v>
      </c>
    </row>
    <row r="11" spans="1:5" ht="60" x14ac:dyDescent="0.25">
      <c r="A11" s="50" t="s">
        <v>45</v>
      </c>
      <c r="B11" s="50" t="s">
        <v>9</v>
      </c>
      <c r="C11" s="50" t="str">
        <f>+LISTADO!$H$7</f>
        <v>Juan Carlos Ramírez / Diego Mesa</v>
      </c>
      <c r="D11" s="50" t="s">
        <v>46</v>
      </c>
      <c r="E11" s="50" t="s">
        <v>56</v>
      </c>
    </row>
    <row r="12" spans="1:5" ht="45" x14ac:dyDescent="0.25">
      <c r="A12" s="50" t="s">
        <v>57</v>
      </c>
      <c r="B12" s="50" t="s">
        <v>9</v>
      </c>
      <c r="C12" s="50" t="str">
        <f>+LISTADO!$H$7</f>
        <v>Juan Carlos Ramírez / Diego Mesa</v>
      </c>
      <c r="D12" s="50" t="s">
        <v>58</v>
      </c>
      <c r="E12" s="50" t="s">
        <v>59</v>
      </c>
    </row>
    <row r="13" spans="1:5" ht="45" x14ac:dyDescent="0.25">
      <c r="A13" s="50" t="s">
        <v>57</v>
      </c>
      <c r="B13" s="50" t="s">
        <v>9</v>
      </c>
      <c r="C13" s="50" t="str">
        <f>+LISTADO!$H$7</f>
        <v>Juan Carlos Ramírez / Diego Mesa</v>
      </c>
      <c r="D13" s="50" t="s">
        <v>58</v>
      </c>
      <c r="E13" s="50" t="s">
        <v>60</v>
      </c>
    </row>
    <row r="14" spans="1:5" ht="45" x14ac:dyDescent="0.25">
      <c r="A14" s="50" t="s">
        <v>57</v>
      </c>
      <c r="B14" s="50" t="s">
        <v>9</v>
      </c>
      <c r="C14" s="50" t="str">
        <f>+LISTADO!$H$7</f>
        <v>Juan Carlos Ramírez / Diego Mesa</v>
      </c>
      <c r="D14" s="50" t="s">
        <v>58</v>
      </c>
      <c r="E14" s="50" t="s">
        <v>61</v>
      </c>
    </row>
    <row r="15" spans="1:5" ht="45" x14ac:dyDescent="0.25">
      <c r="A15" s="50" t="s">
        <v>57</v>
      </c>
      <c r="B15" s="50" t="s">
        <v>9</v>
      </c>
      <c r="C15" s="50" t="str">
        <f>+LISTADO!$H$7</f>
        <v>Juan Carlos Ramírez / Diego Mesa</v>
      </c>
      <c r="D15" s="50" t="s">
        <v>58</v>
      </c>
      <c r="E15" s="50" t="s">
        <v>62</v>
      </c>
    </row>
    <row r="16" spans="1:5" ht="45" x14ac:dyDescent="0.25">
      <c r="A16" s="50" t="s">
        <v>57</v>
      </c>
      <c r="B16" s="50" t="s">
        <v>9</v>
      </c>
      <c r="C16" s="50" t="str">
        <f>+LISTADO!$H$7</f>
        <v>Juan Carlos Ramírez / Diego Mesa</v>
      </c>
      <c r="D16" s="50" t="s">
        <v>58</v>
      </c>
      <c r="E16" s="50" t="s">
        <v>63</v>
      </c>
    </row>
    <row r="17" spans="1:5" ht="45" x14ac:dyDescent="0.25">
      <c r="A17" s="50" t="s">
        <v>57</v>
      </c>
      <c r="B17" s="50" t="s">
        <v>9</v>
      </c>
      <c r="C17" s="50" t="str">
        <f>+LISTADO!$H$7</f>
        <v>Juan Carlos Ramírez / Diego Mesa</v>
      </c>
      <c r="D17" s="50" t="s">
        <v>58</v>
      </c>
      <c r="E17" s="50" t="s">
        <v>64</v>
      </c>
    </row>
    <row r="18" spans="1:5" ht="45" x14ac:dyDescent="0.25">
      <c r="A18" s="50" t="s">
        <v>57</v>
      </c>
      <c r="B18" s="50" t="s">
        <v>9</v>
      </c>
      <c r="C18" s="50" t="str">
        <f>+LISTADO!$H$7</f>
        <v>Juan Carlos Ramírez / Diego Mesa</v>
      </c>
      <c r="D18" s="50" t="s">
        <v>58</v>
      </c>
      <c r="E18" s="50" t="s">
        <v>65</v>
      </c>
    </row>
    <row r="19" spans="1:5" ht="45" x14ac:dyDescent="0.25">
      <c r="A19" s="50" t="s">
        <v>57</v>
      </c>
      <c r="B19" s="50" t="s">
        <v>9</v>
      </c>
      <c r="C19" s="50" t="str">
        <f>+LISTADO!$H$7</f>
        <v>Juan Carlos Ramírez / Diego Mesa</v>
      </c>
      <c r="D19" s="50" t="s">
        <v>58</v>
      </c>
      <c r="E19" s="50" t="s">
        <v>66</v>
      </c>
    </row>
    <row r="20" spans="1:5" ht="45" x14ac:dyDescent="0.25">
      <c r="A20" s="50" t="s">
        <v>57</v>
      </c>
      <c r="B20" s="50" t="s">
        <v>9</v>
      </c>
      <c r="C20" s="50" t="str">
        <f>+LISTADO!$H$7</f>
        <v>Juan Carlos Ramírez / Diego Mesa</v>
      </c>
      <c r="D20" s="50" t="s">
        <v>58</v>
      </c>
      <c r="E20" s="50" t="s">
        <v>67</v>
      </c>
    </row>
    <row r="21" spans="1:5" ht="45" x14ac:dyDescent="0.25">
      <c r="A21" s="50" t="s">
        <v>57</v>
      </c>
      <c r="B21" s="50" t="s">
        <v>9</v>
      </c>
      <c r="C21" s="50" t="str">
        <f>+LISTADO!$H$7</f>
        <v>Juan Carlos Ramírez / Diego Mesa</v>
      </c>
      <c r="D21" s="50" t="s">
        <v>58</v>
      </c>
      <c r="E21" s="50" t="s">
        <v>68</v>
      </c>
    </row>
    <row r="22" spans="1:5" ht="60" x14ac:dyDescent="0.25">
      <c r="A22" s="50" t="s">
        <v>69</v>
      </c>
      <c r="B22" s="50" t="s">
        <v>9</v>
      </c>
      <c r="C22" s="50" t="str">
        <f>+LISTADO!$H$7</f>
        <v>Juan Carlos Ramírez / Diego Mesa</v>
      </c>
      <c r="D22" s="50" t="s">
        <v>70</v>
      </c>
      <c r="E22" s="50" t="s">
        <v>71</v>
      </c>
    </row>
    <row r="23" spans="1:5" ht="45" x14ac:dyDescent="0.25">
      <c r="A23" s="50" t="s">
        <v>69</v>
      </c>
      <c r="B23" s="50" t="s">
        <v>9</v>
      </c>
      <c r="C23" s="50" t="str">
        <f>+LISTADO!$H$7</f>
        <v>Juan Carlos Ramírez / Diego Mesa</v>
      </c>
      <c r="D23" s="50" t="s">
        <v>70</v>
      </c>
      <c r="E23" s="50" t="s">
        <v>72</v>
      </c>
    </row>
    <row r="24" spans="1:5" ht="45" x14ac:dyDescent="0.25">
      <c r="A24" s="50" t="s">
        <v>69</v>
      </c>
      <c r="B24" s="50" t="s">
        <v>9</v>
      </c>
      <c r="C24" s="50" t="str">
        <f>+LISTADO!$H$7</f>
        <v>Juan Carlos Ramírez / Diego Mesa</v>
      </c>
      <c r="D24" s="50" t="s">
        <v>70</v>
      </c>
      <c r="E24" s="50" t="s">
        <v>73</v>
      </c>
    </row>
    <row r="25" spans="1:5" ht="45" x14ac:dyDescent="0.25">
      <c r="A25" s="50" t="s">
        <v>69</v>
      </c>
      <c r="B25" s="50" t="s">
        <v>9</v>
      </c>
      <c r="C25" s="50" t="str">
        <f>+LISTADO!$H$7</f>
        <v>Juan Carlos Ramírez / Diego Mesa</v>
      </c>
      <c r="D25" s="50" t="s">
        <v>70</v>
      </c>
      <c r="E25" s="50" t="s">
        <v>74</v>
      </c>
    </row>
    <row r="26" spans="1:5" ht="45" x14ac:dyDescent="0.25">
      <c r="A26" s="50" t="s">
        <v>69</v>
      </c>
      <c r="B26" s="50" t="s">
        <v>9</v>
      </c>
      <c r="C26" s="50" t="str">
        <f>+LISTADO!$H$7</f>
        <v>Juan Carlos Ramírez / Diego Mesa</v>
      </c>
      <c r="D26" s="50" t="s">
        <v>70</v>
      </c>
      <c r="E26" s="50" t="s">
        <v>75</v>
      </c>
    </row>
    <row r="27" spans="1:5" ht="45" x14ac:dyDescent="0.25">
      <c r="A27" s="50" t="s">
        <v>69</v>
      </c>
      <c r="B27" s="50" t="s">
        <v>9</v>
      </c>
      <c r="C27" s="50" t="str">
        <f>+LISTADO!$H$7</f>
        <v>Juan Carlos Ramírez / Diego Mesa</v>
      </c>
      <c r="D27" s="50" t="s">
        <v>70</v>
      </c>
      <c r="E27" s="50" t="s">
        <v>76</v>
      </c>
    </row>
    <row r="28" spans="1:5" ht="45" x14ac:dyDescent="0.25">
      <c r="A28" s="50" t="s">
        <v>69</v>
      </c>
      <c r="B28" s="50" t="s">
        <v>9</v>
      </c>
      <c r="C28" s="50" t="str">
        <f>+LISTADO!$H$7</f>
        <v>Juan Carlos Ramírez / Diego Mesa</v>
      </c>
      <c r="D28" s="50" t="s">
        <v>70</v>
      </c>
      <c r="E28" s="50" t="s">
        <v>77</v>
      </c>
    </row>
    <row r="29" spans="1:5" ht="45" x14ac:dyDescent="0.25">
      <c r="A29" s="50" t="s">
        <v>69</v>
      </c>
      <c r="B29" s="50" t="s">
        <v>9</v>
      </c>
      <c r="C29" s="50" t="str">
        <f>+LISTADO!$H$7</f>
        <v>Juan Carlos Ramírez / Diego Mesa</v>
      </c>
      <c r="D29" s="50" t="s">
        <v>70</v>
      </c>
      <c r="E29" s="50" t="s">
        <v>78</v>
      </c>
    </row>
    <row r="30" spans="1:5" ht="45" x14ac:dyDescent="0.25">
      <c r="A30" s="50" t="s">
        <v>69</v>
      </c>
      <c r="B30" s="50" t="s">
        <v>9</v>
      </c>
      <c r="C30" s="50" t="str">
        <f>+LISTADO!$H$7</f>
        <v>Juan Carlos Ramírez / Diego Mesa</v>
      </c>
      <c r="D30" s="50" t="s">
        <v>70</v>
      </c>
      <c r="E30" s="50" t="s">
        <v>79</v>
      </c>
    </row>
    <row r="31" spans="1:5" ht="45" x14ac:dyDescent="0.25">
      <c r="A31" s="50" t="s">
        <v>69</v>
      </c>
      <c r="B31" s="50" t="s">
        <v>9</v>
      </c>
      <c r="C31" s="50" t="str">
        <f>+LISTADO!$H$7</f>
        <v>Juan Carlos Ramírez / Diego Mesa</v>
      </c>
      <c r="D31" s="50" t="s">
        <v>70</v>
      </c>
      <c r="E31" s="50" t="s">
        <v>80</v>
      </c>
    </row>
    <row r="32" spans="1:5" ht="45" x14ac:dyDescent="0.25">
      <c r="A32" s="50" t="s">
        <v>81</v>
      </c>
      <c r="B32" s="50" t="s">
        <v>9</v>
      </c>
      <c r="C32" s="50" t="str">
        <f>+LISTADO!$H$7</f>
        <v>Juan Carlos Ramírez / Diego Mesa</v>
      </c>
      <c r="D32" s="50" t="s">
        <v>82</v>
      </c>
      <c r="E32" s="50" t="s">
        <v>83</v>
      </c>
    </row>
    <row r="33" spans="1:5" ht="45" x14ac:dyDescent="0.25">
      <c r="A33" s="50" t="s">
        <v>81</v>
      </c>
      <c r="B33" s="50" t="s">
        <v>9</v>
      </c>
      <c r="C33" s="50" t="str">
        <f>+LISTADO!$H$7</f>
        <v>Juan Carlos Ramírez / Diego Mesa</v>
      </c>
      <c r="D33" s="50" t="s">
        <v>82</v>
      </c>
      <c r="E33" s="50" t="s">
        <v>84</v>
      </c>
    </row>
    <row r="34" spans="1:5" ht="45" x14ac:dyDescent="0.25">
      <c r="A34" s="50" t="s">
        <v>81</v>
      </c>
      <c r="B34" s="50" t="s">
        <v>9</v>
      </c>
      <c r="C34" s="50" t="str">
        <f>+LISTADO!$H$7</f>
        <v>Juan Carlos Ramírez / Diego Mesa</v>
      </c>
      <c r="D34" s="50" t="s">
        <v>82</v>
      </c>
      <c r="E34" s="50" t="s">
        <v>85</v>
      </c>
    </row>
    <row r="35" spans="1:5" ht="45" x14ac:dyDescent="0.25">
      <c r="A35" s="50" t="s">
        <v>81</v>
      </c>
      <c r="B35" s="50" t="s">
        <v>9</v>
      </c>
      <c r="C35" s="50" t="str">
        <f>+LISTADO!$H$7</f>
        <v>Juan Carlos Ramírez / Diego Mesa</v>
      </c>
      <c r="D35" s="50" t="s">
        <v>82</v>
      </c>
      <c r="E35" s="50" t="s">
        <v>86</v>
      </c>
    </row>
    <row r="36" spans="1:5" ht="30" x14ac:dyDescent="0.25">
      <c r="A36" s="50" t="s">
        <v>81</v>
      </c>
      <c r="B36" s="50" t="s">
        <v>9</v>
      </c>
      <c r="C36" s="50" t="str">
        <f>+LISTADO!$H$7</f>
        <v>Juan Carlos Ramírez / Diego Mesa</v>
      </c>
      <c r="D36" s="50" t="s">
        <v>82</v>
      </c>
      <c r="E36" s="50" t="s">
        <v>87</v>
      </c>
    </row>
    <row r="37" spans="1:5" ht="30" x14ac:dyDescent="0.25">
      <c r="A37" s="50" t="s">
        <v>81</v>
      </c>
      <c r="B37" s="50" t="s">
        <v>9</v>
      </c>
      <c r="C37" s="50" t="str">
        <f>+LISTADO!$H$7</f>
        <v>Juan Carlos Ramírez / Diego Mesa</v>
      </c>
      <c r="D37" s="50" t="s">
        <v>82</v>
      </c>
      <c r="E37" s="50" t="s">
        <v>88</v>
      </c>
    </row>
    <row r="38" spans="1:5" ht="30" x14ac:dyDescent="0.25">
      <c r="A38" s="50" t="s">
        <v>81</v>
      </c>
      <c r="B38" s="50" t="s">
        <v>9</v>
      </c>
      <c r="C38" s="50" t="str">
        <f>+LISTADO!$H$7</f>
        <v>Juan Carlos Ramírez / Diego Mesa</v>
      </c>
      <c r="D38" s="50" t="s">
        <v>82</v>
      </c>
      <c r="E38" s="50" t="s">
        <v>89</v>
      </c>
    </row>
    <row r="39" spans="1:5" ht="30" x14ac:dyDescent="0.25">
      <c r="A39" s="50" t="s">
        <v>81</v>
      </c>
      <c r="B39" s="50" t="s">
        <v>9</v>
      </c>
      <c r="C39" s="50" t="str">
        <f>+LISTADO!$H$7</f>
        <v>Juan Carlos Ramírez / Diego Mesa</v>
      </c>
      <c r="D39" s="50" t="s">
        <v>82</v>
      </c>
      <c r="E39" s="50" t="s">
        <v>90</v>
      </c>
    </row>
    <row r="40" spans="1:5" ht="30" x14ac:dyDescent="0.25">
      <c r="A40" s="50" t="s">
        <v>81</v>
      </c>
      <c r="B40" s="50" t="s">
        <v>9</v>
      </c>
      <c r="C40" s="50" t="str">
        <f>+LISTADO!$H$7</f>
        <v>Juan Carlos Ramírez / Diego Mesa</v>
      </c>
      <c r="D40" s="50" t="s">
        <v>82</v>
      </c>
      <c r="E40" s="50" t="s">
        <v>91</v>
      </c>
    </row>
    <row r="41" spans="1:5" ht="30" x14ac:dyDescent="0.25">
      <c r="A41" s="50" t="s">
        <v>81</v>
      </c>
      <c r="B41" s="50" t="s">
        <v>9</v>
      </c>
      <c r="C41" s="50" t="str">
        <f>+LISTADO!$H$7</f>
        <v>Juan Carlos Ramírez / Diego Mesa</v>
      </c>
      <c r="D41" s="50" t="s">
        <v>82</v>
      </c>
      <c r="E41" s="50" t="s">
        <v>92</v>
      </c>
    </row>
    <row r="42" spans="1:5" ht="75" x14ac:dyDescent="0.25">
      <c r="A42" s="50" t="s">
        <v>93</v>
      </c>
      <c r="B42" s="50" t="s">
        <v>9</v>
      </c>
      <c r="C42" s="50" t="str">
        <f>+LISTADO!$H$7</f>
        <v>Juan Carlos Ramírez / Diego Mesa</v>
      </c>
      <c r="D42" s="50" t="s">
        <v>94</v>
      </c>
      <c r="E42" s="50" t="s">
        <v>95</v>
      </c>
    </row>
    <row r="43" spans="1:5" ht="60" x14ac:dyDescent="0.25">
      <c r="A43" s="50" t="s">
        <v>93</v>
      </c>
      <c r="B43" s="50" t="s">
        <v>9</v>
      </c>
      <c r="C43" s="50" t="str">
        <f>+LISTADO!$H$7</f>
        <v>Juan Carlos Ramírez / Diego Mesa</v>
      </c>
      <c r="D43" s="50" t="s">
        <v>94</v>
      </c>
      <c r="E43" s="50" t="s">
        <v>96</v>
      </c>
    </row>
    <row r="44" spans="1:5" ht="60" x14ac:dyDescent="0.25">
      <c r="A44" s="50" t="s">
        <v>93</v>
      </c>
      <c r="B44" s="50" t="s">
        <v>9</v>
      </c>
      <c r="C44" s="50" t="str">
        <f>+LISTADO!$H$7</f>
        <v>Juan Carlos Ramírez / Diego Mesa</v>
      </c>
      <c r="D44" s="50" t="s">
        <v>94</v>
      </c>
      <c r="E44" s="50" t="s">
        <v>97</v>
      </c>
    </row>
    <row r="45" spans="1:5" ht="60" x14ac:dyDescent="0.25">
      <c r="A45" s="50" t="s">
        <v>93</v>
      </c>
      <c r="B45" s="50" t="s">
        <v>9</v>
      </c>
      <c r="C45" s="50" t="str">
        <f>+LISTADO!$H$7</f>
        <v>Juan Carlos Ramírez / Diego Mesa</v>
      </c>
      <c r="D45" s="50" t="s">
        <v>94</v>
      </c>
      <c r="E45" s="50" t="s">
        <v>98</v>
      </c>
    </row>
    <row r="46" spans="1:5" ht="60" x14ac:dyDescent="0.25">
      <c r="A46" s="50" t="s">
        <v>93</v>
      </c>
      <c r="B46" s="50" t="s">
        <v>9</v>
      </c>
      <c r="C46" s="50" t="str">
        <f>+LISTADO!$H$7</f>
        <v>Juan Carlos Ramírez / Diego Mesa</v>
      </c>
      <c r="D46" s="50" t="s">
        <v>94</v>
      </c>
      <c r="E46" s="50" t="s">
        <v>99</v>
      </c>
    </row>
    <row r="47" spans="1:5" ht="60" x14ac:dyDescent="0.25">
      <c r="A47" s="50" t="s">
        <v>93</v>
      </c>
      <c r="B47" s="50" t="s">
        <v>9</v>
      </c>
      <c r="C47" s="50" t="str">
        <f>+LISTADO!$H$7</f>
        <v>Juan Carlos Ramírez / Diego Mesa</v>
      </c>
      <c r="D47" s="50" t="s">
        <v>94</v>
      </c>
      <c r="E47" s="50" t="s">
        <v>100</v>
      </c>
    </row>
    <row r="48" spans="1:5" ht="60" x14ac:dyDescent="0.25">
      <c r="A48" s="50" t="s">
        <v>93</v>
      </c>
      <c r="B48" s="50" t="s">
        <v>9</v>
      </c>
      <c r="C48" s="50" t="str">
        <f>+LISTADO!$H$7</f>
        <v>Juan Carlos Ramírez / Diego Mesa</v>
      </c>
      <c r="D48" s="50" t="s">
        <v>94</v>
      </c>
      <c r="E48" s="50" t="s">
        <v>101</v>
      </c>
    </row>
    <row r="49" spans="1:5" ht="60" x14ac:dyDescent="0.25">
      <c r="A49" s="50" t="s">
        <v>93</v>
      </c>
      <c r="B49" s="50" t="s">
        <v>9</v>
      </c>
      <c r="C49" s="50" t="str">
        <f>+LISTADO!$H$7</f>
        <v>Juan Carlos Ramírez / Diego Mesa</v>
      </c>
      <c r="D49" s="50" t="s">
        <v>94</v>
      </c>
      <c r="E49" s="50" t="s">
        <v>102</v>
      </c>
    </row>
    <row r="50" spans="1:5" ht="60" x14ac:dyDescent="0.25">
      <c r="A50" s="50" t="s">
        <v>93</v>
      </c>
      <c r="B50" s="50" t="s">
        <v>9</v>
      </c>
      <c r="C50" s="50" t="str">
        <f>+LISTADO!$H$7</f>
        <v>Juan Carlos Ramírez / Diego Mesa</v>
      </c>
      <c r="D50" s="50" t="s">
        <v>94</v>
      </c>
      <c r="E50" s="50" t="s">
        <v>103</v>
      </c>
    </row>
    <row r="51" spans="1:5" ht="60" x14ac:dyDescent="0.25">
      <c r="A51" s="50" t="s">
        <v>93</v>
      </c>
      <c r="B51" s="50" t="s">
        <v>9</v>
      </c>
      <c r="C51" s="50" t="str">
        <f>+LISTADO!$H$7</f>
        <v>Juan Carlos Ramírez / Diego Mesa</v>
      </c>
      <c r="D51" s="50" t="s">
        <v>94</v>
      </c>
      <c r="E51" s="50" t="s">
        <v>104</v>
      </c>
    </row>
    <row r="52" spans="1:5" ht="60" x14ac:dyDescent="0.25">
      <c r="A52" s="50" t="s">
        <v>105</v>
      </c>
      <c r="B52" s="50" t="s">
        <v>9</v>
      </c>
      <c r="C52" s="50" t="str">
        <f>+LISTADO!$H$7</f>
        <v>Juan Carlos Ramírez / Diego Mesa</v>
      </c>
      <c r="D52" s="50" t="s">
        <v>106</v>
      </c>
      <c r="E52" s="50" t="s">
        <v>107</v>
      </c>
    </row>
    <row r="53" spans="1:5" ht="60" x14ac:dyDescent="0.25">
      <c r="A53" s="50" t="s">
        <v>105</v>
      </c>
      <c r="B53" s="50" t="s">
        <v>9</v>
      </c>
      <c r="C53" s="50" t="str">
        <f>+LISTADO!$H$7</f>
        <v>Juan Carlos Ramírez / Diego Mesa</v>
      </c>
      <c r="D53" s="50" t="s">
        <v>106</v>
      </c>
      <c r="E53" s="50" t="s">
        <v>108</v>
      </c>
    </row>
    <row r="54" spans="1:5" ht="60" x14ac:dyDescent="0.25">
      <c r="A54" s="50" t="s">
        <v>105</v>
      </c>
      <c r="B54" s="50" t="s">
        <v>9</v>
      </c>
      <c r="C54" s="50" t="str">
        <f>+LISTADO!$H$7</f>
        <v>Juan Carlos Ramírez / Diego Mesa</v>
      </c>
      <c r="D54" s="50" t="s">
        <v>106</v>
      </c>
      <c r="E54" s="50" t="s">
        <v>109</v>
      </c>
    </row>
    <row r="55" spans="1:5" ht="60" x14ac:dyDescent="0.25">
      <c r="A55" s="50" t="s">
        <v>105</v>
      </c>
      <c r="B55" s="50" t="s">
        <v>9</v>
      </c>
      <c r="C55" s="50" t="str">
        <f>+LISTADO!$H$7</f>
        <v>Juan Carlos Ramírez / Diego Mesa</v>
      </c>
      <c r="D55" s="50" t="s">
        <v>106</v>
      </c>
      <c r="E55" s="50" t="s">
        <v>110</v>
      </c>
    </row>
    <row r="56" spans="1:5" ht="60" x14ac:dyDescent="0.25">
      <c r="A56" s="50" t="s">
        <v>105</v>
      </c>
      <c r="B56" s="50" t="s">
        <v>9</v>
      </c>
      <c r="C56" s="50" t="str">
        <f>+LISTADO!$H$7</f>
        <v>Juan Carlos Ramírez / Diego Mesa</v>
      </c>
      <c r="D56" s="50" t="s">
        <v>106</v>
      </c>
      <c r="E56" s="50" t="s">
        <v>111</v>
      </c>
    </row>
    <row r="57" spans="1:5" ht="60" x14ac:dyDescent="0.25">
      <c r="A57" s="50" t="s">
        <v>105</v>
      </c>
      <c r="B57" s="50" t="s">
        <v>9</v>
      </c>
      <c r="C57" s="50" t="str">
        <f>+LISTADO!$H$7</f>
        <v>Juan Carlos Ramírez / Diego Mesa</v>
      </c>
      <c r="D57" s="50" t="s">
        <v>106</v>
      </c>
      <c r="E57" s="50" t="s">
        <v>112</v>
      </c>
    </row>
    <row r="58" spans="1:5" ht="60" x14ac:dyDescent="0.25">
      <c r="A58" s="50" t="s">
        <v>105</v>
      </c>
      <c r="B58" s="50" t="s">
        <v>9</v>
      </c>
      <c r="C58" s="50" t="str">
        <f>+LISTADO!$H$7</f>
        <v>Juan Carlos Ramírez / Diego Mesa</v>
      </c>
      <c r="D58" s="50" t="s">
        <v>106</v>
      </c>
      <c r="E58" s="50" t="s">
        <v>113</v>
      </c>
    </row>
    <row r="59" spans="1:5" ht="60" x14ac:dyDescent="0.25">
      <c r="A59" s="50" t="s">
        <v>105</v>
      </c>
      <c r="B59" s="50" t="s">
        <v>9</v>
      </c>
      <c r="C59" s="50" t="str">
        <f>+LISTADO!$H$7</f>
        <v>Juan Carlos Ramírez / Diego Mesa</v>
      </c>
      <c r="D59" s="50" t="s">
        <v>106</v>
      </c>
      <c r="E59" s="50" t="s">
        <v>114</v>
      </c>
    </row>
    <row r="60" spans="1:5" ht="60" x14ac:dyDescent="0.25">
      <c r="A60" s="50" t="s">
        <v>105</v>
      </c>
      <c r="B60" s="50" t="s">
        <v>9</v>
      </c>
      <c r="C60" s="50" t="str">
        <f>+LISTADO!$H$7</f>
        <v>Juan Carlos Ramírez / Diego Mesa</v>
      </c>
      <c r="D60" s="50" t="s">
        <v>106</v>
      </c>
      <c r="E60" s="50" t="s">
        <v>115</v>
      </c>
    </row>
    <row r="61" spans="1:5" ht="60" x14ac:dyDescent="0.25">
      <c r="A61" s="50" t="s">
        <v>105</v>
      </c>
      <c r="B61" s="50" t="s">
        <v>9</v>
      </c>
      <c r="C61" s="50" t="str">
        <f>+LISTADO!$H$7</f>
        <v>Juan Carlos Ramírez / Diego Mesa</v>
      </c>
      <c r="D61" s="50" t="s">
        <v>106</v>
      </c>
      <c r="E61" s="50" t="s">
        <v>116</v>
      </c>
    </row>
    <row r="62" spans="1:5" ht="45" x14ac:dyDescent="0.25">
      <c r="A62" s="50" t="s">
        <v>117</v>
      </c>
      <c r="B62" s="50" t="s">
        <v>9</v>
      </c>
      <c r="C62" s="50" t="str">
        <f>+LISTADO!$H$7</f>
        <v>Juan Carlos Ramírez / Diego Mesa</v>
      </c>
      <c r="D62" s="50" t="s">
        <v>118</v>
      </c>
      <c r="E62" s="50" t="s">
        <v>119</v>
      </c>
    </row>
    <row r="63" spans="1:5" ht="45" x14ac:dyDescent="0.25">
      <c r="A63" s="50" t="s">
        <v>117</v>
      </c>
      <c r="B63" s="50" t="s">
        <v>9</v>
      </c>
      <c r="C63" s="50" t="str">
        <f>+LISTADO!$H$7</f>
        <v>Juan Carlos Ramírez / Diego Mesa</v>
      </c>
      <c r="D63" s="50" t="s">
        <v>118</v>
      </c>
      <c r="E63" s="50" t="s">
        <v>120</v>
      </c>
    </row>
    <row r="64" spans="1:5" ht="45" x14ac:dyDescent="0.25">
      <c r="A64" s="50" t="s">
        <v>117</v>
      </c>
      <c r="B64" s="50" t="s">
        <v>9</v>
      </c>
      <c r="C64" s="50" t="str">
        <f>+LISTADO!$H$7</f>
        <v>Juan Carlos Ramírez / Diego Mesa</v>
      </c>
      <c r="D64" s="50" t="s">
        <v>118</v>
      </c>
      <c r="E64" s="50" t="s">
        <v>121</v>
      </c>
    </row>
    <row r="65" spans="1:5" ht="45" x14ac:dyDescent="0.25">
      <c r="A65" s="50" t="s">
        <v>117</v>
      </c>
      <c r="B65" s="50" t="s">
        <v>9</v>
      </c>
      <c r="C65" s="50" t="str">
        <f>+LISTADO!$H$7</f>
        <v>Juan Carlos Ramírez / Diego Mesa</v>
      </c>
      <c r="D65" s="50" t="s">
        <v>118</v>
      </c>
      <c r="E65" s="50" t="s">
        <v>122</v>
      </c>
    </row>
    <row r="66" spans="1:5" ht="45" x14ac:dyDescent="0.25">
      <c r="A66" s="50" t="s">
        <v>117</v>
      </c>
      <c r="B66" s="50" t="s">
        <v>9</v>
      </c>
      <c r="C66" s="50" t="str">
        <f>+LISTADO!$H$7</f>
        <v>Juan Carlos Ramírez / Diego Mesa</v>
      </c>
      <c r="D66" s="50" t="s">
        <v>118</v>
      </c>
      <c r="E66" s="50" t="s">
        <v>123</v>
      </c>
    </row>
    <row r="67" spans="1:5" ht="45" x14ac:dyDescent="0.25">
      <c r="A67" s="50" t="s">
        <v>117</v>
      </c>
      <c r="B67" s="50" t="s">
        <v>9</v>
      </c>
      <c r="C67" s="50" t="str">
        <f>+LISTADO!$H$7</f>
        <v>Juan Carlos Ramírez / Diego Mesa</v>
      </c>
      <c r="D67" s="50" t="s">
        <v>118</v>
      </c>
      <c r="E67" s="50" t="s">
        <v>124</v>
      </c>
    </row>
    <row r="68" spans="1:5" ht="45" x14ac:dyDescent="0.25">
      <c r="A68" s="50" t="s">
        <v>117</v>
      </c>
      <c r="B68" s="50" t="s">
        <v>9</v>
      </c>
      <c r="C68" s="50" t="str">
        <f>+LISTADO!$H$7</f>
        <v>Juan Carlos Ramírez / Diego Mesa</v>
      </c>
      <c r="D68" s="50" t="s">
        <v>118</v>
      </c>
      <c r="E68" s="50" t="s">
        <v>125</v>
      </c>
    </row>
    <row r="69" spans="1:5" ht="45" x14ac:dyDescent="0.25">
      <c r="A69" s="50" t="s">
        <v>117</v>
      </c>
      <c r="B69" s="50" t="s">
        <v>9</v>
      </c>
      <c r="C69" s="50" t="str">
        <f>+LISTADO!$H$7</f>
        <v>Juan Carlos Ramírez / Diego Mesa</v>
      </c>
      <c r="D69" s="50" t="s">
        <v>118</v>
      </c>
      <c r="E69" s="50" t="s">
        <v>126</v>
      </c>
    </row>
    <row r="70" spans="1:5" ht="45" x14ac:dyDescent="0.25">
      <c r="A70" s="50" t="s">
        <v>117</v>
      </c>
      <c r="B70" s="50" t="s">
        <v>9</v>
      </c>
      <c r="C70" s="50" t="str">
        <f>+LISTADO!$H$7</f>
        <v>Juan Carlos Ramírez / Diego Mesa</v>
      </c>
      <c r="D70" s="50" t="s">
        <v>118</v>
      </c>
      <c r="E70" s="50" t="s">
        <v>127</v>
      </c>
    </row>
    <row r="71" spans="1:5" ht="45" x14ac:dyDescent="0.25">
      <c r="A71" s="50" t="s">
        <v>117</v>
      </c>
      <c r="B71" s="50" t="s">
        <v>9</v>
      </c>
      <c r="C71" s="50" t="str">
        <f>+LISTADO!$H$7</f>
        <v>Juan Carlos Ramírez / Diego Mesa</v>
      </c>
      <c r="D71" s="50" t="s">
        <v>118</v>
      </c>
      <c r="E71" s="50" t="s">
        <v>128</v>
      </c>
    </row>
    <row r="72" spans="1:5" ht="45" x14ac:dyDescent="0.25">
      <c r="A72" s="50" t="s">
        <v>129</v>
      </c>
      <c r="B72" s="50" t="s">
        <v>9</v>
      </c>
      <c r="C72" s="50" t="str">
        <f>+LISTADO!$H$7</f>
        <v>Juan Carlos Ramírez / Diego Mesa</v>
      </c>
      <c r="D72" s="50" t="s">
        <v>130</v>
      </c>
      <c r="E72" s="50" t="s">
        <v>131</v>
      </c>
    </row>
    <row r="73" spans="1:5" ht="60" x14ac:dyDescent="0.25">
      <c r="A73" s="50" t="s">
        <v>129</v>
      </c>
      <c r="B73" s="50" t="s">
        <v>9</v>
      </c>
      <c r="C73" s="50" t="str">
        <f>+LISTADO!$H$7</f>
        <v>Juan Carlos Ramírez / Diego Mesa</v>
      </c>
      <c r="D73" s="50" t="s">
        <v>130</v>
      </c>
      <c r="E73" s="50" t="s">
        <v>132</v>
      </c>
    </row>
    <row r="74" spans="1:5" ht="45" x14ac:dyDescent="0.25">
      <c r="A74" s="50" t="s">
        <v>129</v>
      </c>
      <c r="B74" s="50" t="s">
        <v>9</v>
      </c>
      <c r="C74" s="50" t="str">
        <f>+LISTADO!$H$7</f>
        <v>Juan Carlos Ramírez / Diego Mesa</v>
      </c>
      <c r="D74" s="50" t="s">
        <v>130</v>
      </c>
      <c r="E74" s="50" t="s">
        <v>133</v>
      </c>
    </row>
    <row r="75" spans="1:5" ht="60" x14ac:dyDescent="0.25">
      <c r="A75" s="50" t="s">
        <v>129</v>
      </c>
      <c r="B75" s="50" t="s">
        <v>9</v>
      </c>
      <c r="C75" s="50" t="str">
        <f>+LISTADO!$H$7</f>
        <v>Juan Carlos Ramírez / Diego Mesa</v>
      </c>
      <c r="D75" s="50" t="s">
        <v>130</v>
      </c>
      <c r="E75" s="50" t="s">
        <v>134</v>
      </c>
    </row>
    <row r="76" spans="1:5" ht="30" x14ac:dyDescent="0.25">
      <c r="A76" s="50" t="s">
        <v>129</v>
      </c>
      <c r="B76" s="50" t="s">
        <v>9</v>
      </c>
      <c r="C76" s="50" t="str">
        <f>+LISTADO!$H$7</f>
        <v>Juan Carlos Ramírez / Diego Mesa</v>
      </c>
      <c r="D76" s="50" t="s">
        <v>130</v>
      </c>
      <c r="E76" s="50" t="s">
        <v>135</v>
      </c>
    </row>
    <row r="77" spans="1:5" ht="45" x14ac:dyDescent="0.25">
      <c r="A77" s="50" t="s">
        <v>129</v>
      </c>
      <c r="B77" s="50" t="s">
        <v>9</v>
      </c>
      <c r="C77" s="50" t="str">
        <f>+LISTADO!$H$7</f>
        <v>Juan Carlos Ramírez / Diego Mesa</v>
      </c>
      <c r="D77" s="50" t="s">
        <v>130</v>
      </c>
      <c r="E77" s="50" t="s">
        <v>136</v>
      </c>
    </row>
    <row r="78" spans="1:5" ht="30" x14ac:dyDescent="0.25">
      <c r="A78" s="50" t="s">
        <v>129</v>
      </c>
      <c r="B78" s="50" t="s">
        <v>9</v>
      </c>
      <c r="C78" s="50" t="str">
        <f>+LISTADO!$H$7</f>
        <v>Juan Carlos Ramírez / Diego Mesa</v>
      </c>
      <c r="D78" s="50" t="s">
        <v>130</v>
      </c>
      <c r="E78" s="50" t="s">
        <v>137</v>
      </c>
    </row>
    <row r="79" spans="1:5" ht="30" x14ac:dyDescent="0.25">
      <c r="A79" s="50" t="s">
        <v>129</v>
      </c>
      <c r="B79" s="50" t="s">
        <v>9</v>
      </c>
      <c r="C79" s="50" t="str">
        <f>+LISTADO!$H$7</f>
        <v>Juan Carlos Ramírez / Diego Mesa</v>
      </c>
      <c r="D79" s="50" t="s">
        <v>130</v>
      </c>
      <c r="E79" s="50" t="s">
        <v>138</v>
      </c>
    </row>
    <row r="80" spans="1:5" ht="30" x14ac:dyDescent="0.25">
      <c r="A80" s="50" t="s">
        <v>129</v>
      </c>
      <c r="B80" s="50" t="s">
        <v>9</v>
      </c>
      <c r="C80" s="50" t="str">
        <f>+LISTADO!$H$7</f>
        <v>Juan Carlos Ramírez / Diego Mesa</v>
      </c>
      <c r="D80" s="50" t="s">
        <v>130</v>
      </c>
      <c r="E80" s="50" t="s">
        <v>139</v>
      </c>
    </row>
    <row r="81" spans="1:5" ht="30" x14ac:dyDescent="0.25">
      <c r="A81" s="50" t="s">
        <v>129</v>
      </c>
      <c r="B81" s="50" t="s">
        <v>9</v>
      </c>
      <c r="C81" s="50" t="str">
        <f>+LISTADO!$H$7</f>
        <v>Juan Carlos Ramírez / Diego Mesa</v>
      </c>
      <c r="D81" s="50" t="s">
        <v>130</v>
      </c>
      <c r="E81" s="50" t="s">
        <v>140</v>
      </c>
    </row>
    <row r="82" spans="1:5" ht="45" x14ac:dyDescent="0.25">
      <c r="A82" s="50" t="s">
        <v>141</v>
      </c>
      <c r="B82" s="50" t="s">
        <v>9</v>
      </c>
      <c r="C82" s="50" t="str">
        <f>+LISTADO!$H$7</f>
        <v>Juan Carlos Ramírez / Diego Mesa</v>
      </c>
      <c r="D82" s="50" t="s">
        <v>142</v>
      </c>
      <c r="E82" s="50" t="s">
        <v>143</v>
      </c>
    </row>
    <row r="83" spans="1:5" ht="45" x14ac:dyDescent="0.25">
      <c r="A83" s="50" t="s">
        <v>141</v>
      </c>
      <c r="B83" s="50" t="s">
        <v>9</v>
      </c>
      <c r="C83" s="50" t="str">
        <f>+LISTADO!$H$7</f>
        <v>Juan Carlos Ramírez / Diego Mesa</v>
      </c>
      <c r="D83" s="50" t="s">
        <v>142</v>
      </c>
      <c r="E83" s="50" t="s">
        <v>144</v>
      </c>
    </row>
    <row r="84" spans="1:5" ht="30" x14ac:dyDescent="0.25">
      <c r="A84" s="50" t="s">
        <v>141</v>
      </c>
      <c r="B84" s="50" t="s">
        <v>9</v>
      </c>
      <c r="C84" s="50" t="str">
        <f>+LISTADO!$H$7</f>
        <v>Juan Carlos Ramírez / Diego Mesa</v>
      </c>
      <c r="D84" s="50" t="s">
        <v>142</v>
      </c>
      <c r="E84" s="50" t="s">
        <v>145</v>
      </c>
    </row>
    <row r="85" spans="1:5" ht="45" x14ac:dyDescent="0.25">
      <c r="A85" s="50" t="s">
        <v>141</v>
      </c>
      <c r="B85" s="50" t="s">
        <v>9</v>
      </c>
      <c r="C85" s="50" t="str">
        <f>+LISTADO!$H$7</f>
        <v>Juan Carlos Ramírez / Diego Mesa</v>
      </c>
      <c r="D85" s="50" t="s">
        <v>142</v>
      </c>
      <c r="E85" s="50" t="s">
        <v>146</v>
      </c>
    </row>
    <row r="86" spans="1:5" ht="30" x14ac:dyDescent="0.25">
      <c r="A86" s="50" t="s">
        <v>141</v>
      </c>
      <c r="B86" s="50" t="s">
        <v>9</v>
      </c>
      <c r="C86" s="50" t="str">
        <f>+LISTADO!$H$7</f>
        <v>Juan Carlos Ramírez / Diego Mesa</v>
      </c>
      <c r="D86" s="50" t="s">
        <v>142</v>
      </c>
      <c r="E86" s="50" t="s">
        <v>147</v>
      </c>
    </row>
    <row r="87" spans="1:5" ht="30" x14ac:dyDescent="0.25">
      <c r="A87" s="50" t="s">
        <v>141</v>
      </c>
      <c r="B87" s="50" t="s">
        <v>9</v>
      </c>
      <c r="C87" s="50" t="str">
        <f>+LISTADO!$H$7</f>
        <v>Juan Carlos Ramírez / Diego Mesa</v>
      </c>
      <c r="D87" s="50" t="s">
        <v>142</v>
      </c>
      <c r="E87" s="50" t="s">
        <v>148</v>
      </c>
    </row>
    <row r="88" spans="1:5" ht="30" x14ac:dyDescent="0.25">
      <c r="A88" s="50" t="s">
        <v>141</v>
      </c>
      <c r="B88" s="50" t="s">
        <v>9</v>
      </c>
      <c r="C88" s="50" t="str">
        <f>+LISTADO!$H$7</f>
        <v>Juan Carlos Ramírez / Diego Mesa</v>
      </c>
      <c r="D88" s="50" t="s">
        <v>142</v>
      </c>
      <c r="E88" s="50" t="s">
        <v>149</v>
      </c>
    </row>
    <row r="89" spans="1:5" ht="30" x14ac:dyDescent="0.25">
      <c r="A89" s="50" t="s">
        <v>141</v>
      </c>
      <c r="B89" s="50" t="s">
        <v>9</v>
      </c>
      <c r="C89" s="50" t="str">
        <f>+LISTADO!$H$7</f>
        <v>Juan Carlos Ramírez / Diego Mesa</v>
      </c>
      <c r="D89" s="50" t="s">
        <v>142</v>
      </c>
      <c r="E89" s="50" t="s">
        <v>150</v>
      </c>
    </row>
    <row r="90" spans="1:5" ht="30" x14ac:dyDescent="0.25">
      <c r="A90" s="50" t="s">
        <v>141</v>
      </c>
      <c r="B90" s="50" t="s">
        <v>9</v>
      </c>
      <c r="C90" s="50" t="str">
        <f>+LISTADO!$H$7</f>
        <v>Juan Carlos Ramírez / Diego Mesa</v>
      </c>
      <c r="D90" s="50" t="s">
        <v>142</v>
      </c>
      <c r="E90" s="50" t="s">
        <v>151</v>
      </c>
    </row>
    <row r="91" spans="1:5" ht="30" x14ac:dyDescent="0.25">
      <c r="A91" s="50" t="s">
        <v>141</v>
      </c>
      <c r="B91" s="50" t="s">
        <v>9</v>
      </c>
      <c r="C91" s="50" t="str">
        <f>+LISTADO!$H$7</f>
        <v>Juan Carlos Ramírez / Diego Mesa</v>
      </c>
      <c r="D91" s="50" t="s">
        <v>142</v>
      </c>
      <c r="E91" s="50" t="s">
        <v>152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
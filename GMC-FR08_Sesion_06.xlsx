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16" documentId="11_541EDA5E9245EE3D29AF7BA0FAE11EE15BD64677" xr6:coauthVersionLast="47" xr6:coauthVersionMax="47" xr10:uidLastSave="{AC85292F-C8EF-47B7-BEA6-80B4438EA25A}"/>
  <bookViews>
    <workbookView xWindow="28680" yWindow="2610" windowWidth="24240" windowHeight="13020" activeTab="1"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2"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<sst xmlns="http://schemas.openxmlformats.org/spreadsheetml/2006/main" count="285" uniqueCount="117">
  <si>
    <t xml:space="preserve">CI COLOMBIAN MINT </t>
  </si>
  <si>
    <t>Codigo: GMC-FR08</t>
  </si>
  <si>
    <t xml:space="preserve">   LISTADO DE VERIFICACION </t>
  </si>
  <si>
    <t>Versión:1</t>
  </si>
  <si>
    <t>Fecha de aprobación: 
01/07/2021</t>
  </si>
  <si>
    <t>1. PLANIFICACIÓN DE LA AUDITORIA</t>
  </si>
  <si>
    <t xml:space="preserve">FECHA </t>
  </si>
  <si>
    <t>2026-07-09</t>
  </si>
  <si>
    <t>PROCESO</t>
  </si>
  <si>
    <t>GCP GESTION CUMPLIMIENTO</t>
  </si>
  <si>
    <t xml:space="preserve">AUDITOR </t>
  </si>
  <si>
    <t>Albeiro Esteban</t>
  </si>
  <si>
    <t>AUDITADO</t>
  </si>
  <si>
    <t>Estefanía Granda / Lorena Gil</t>
  </si>
  <si>
    <t>DOCUMENTOS RELACIONADOS</t>
  </si>
  <si>
    <t>GMC-FR07 Plan Auditorías 2026 · Res. 015/2016 Art. 4º · GMC-FR08</t>
  </si>
  <si>
    <t>REQUISITOS</t>
  </si>
  <si>
    <t>OEA 1.3, OEA 1.5, OEA 1.6, OEA 2.1, OEA 2.2, OEA 5.7</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</si>
  <si>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</si>
  <si>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</si>
  <si>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</si>
  <si>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</si>
  <si>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</si>
  <si>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</si>
  <si>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</si>
  <si>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</si>
  <si>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</si>
  <si>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</si>
  <si>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</si>
  <si>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</si>
  <si>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</si>
  <si>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</si>
  <si>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</si>
  <si>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</si>
  <si>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</si>
  <si>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</si>
  <si>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</si>
  <si>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</si>
  <si>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</si>
  <si>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</si>
  <si>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</si>
  <si>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</si>
  <si>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</si>
  <si>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</si>
  <si>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</si>
  <si>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OEA 1.3</t>
  </si>
  <si>
    <t>Tener procedimientos documentados para establecer el nivel de riesgo de sus asociados de negocio.</t>
  </si>
  <si>
    <t>¿Mencione el documento que contenga la metodología para medir el nivel de riesgo de los asociados de negocio. Indique la ubicación en el documento (numeral, ítem, párrafos, páginas, etc.) Indique versión, fecha e identificación en el SGD. Para sustentar, presente evidencia documental vigente de Colombian Mint, tales como: GCP-GU10 (Nivel de criticidad asociados de negocio proveedores), GCP-GU11 (Nivel de criticidad asociados de negocio clientes)?</t>
  </si>
  <si>
    <t>¿Mencione el sistema o matriz implementado para evaluar el riesgo de los Asociados de Negocio. Indique versión, fecha e identificación en el SGD. Para sustentar, presente evidencia documental vigente de Colombian Mint, tales como: GCP-MT01 (Matriz de Criticidad Asociados de Negocio Proveedores), GCP-MT02 (Matriz de Criticidad Asociados de Negocio Clientes)?</t>
  </si>
  <si>
    <t>¿si se han presentaron cambios o inclusión de asociados de negocio en la CSI, con posterioridad a la autorización o a la última revalidación, relacionarlos en un documento. Para sustentar, presente evidencia documental vigente de Colombian Mint, tales como: GCP-MT01 (Matriz de Criticidad Asociados de Negocio Proveedores), GCP-MT02 (Matriz de Criticidad Asociados de Negocio Clientes)?</t>
  </si>
  <si>
    <t>¿Señale la fecha en que se realizó la última actualización de la calificación del nivel de riesgo a los asociados de negocio. ¿Qué registros o documentos (GCP-GU10 (Nivel de criticidad asociados de negocio proveedores), GCP-GU11 (Nivel de criticidad asociados de negocio clientes)) demuestran el cumplimiento de lo solicitado?</t>
  </si>
  <si>
    <t>¿Cargue las evidencias de implementación (Ej. Matrices de evaluación, manual, procedimiento, instructivos, soportes de investigación, actas de reunión, etc.). Para sustentar, presente evidencia documental vigente de Colombian Mint, tales como: GCP-GU12 (Procedimiento vinculación y actualización de clientes.), GCP-MT01 (Matriz de Criticidad Asociados de Negocio Proveedores)?</t>
  </si>
  <si>
    <t>¿según criterios de auditoría OEA (ISO 19011) para el requisito OEA 1.3: Procedimiento escrito de evaluación de riesgo de terceros (asociados de negocio). ¿Qué evidencia objetiva presenta el auditado? Documentos de referencia: GCP-MT01 (Matriz de Criticidad Asociados de Negocio Proveedores), GCP-MT02 (Matriz de Criticidad Asociados de Negocio Clientes)?</t>
  </si>
  <si>
    <t>¿según criterios de auditoría OEA (ISO 19011) para el requisito OEA 1.3: Soporte de la auditoría externa de SAGRILAFT realizada por Deloitte y otras, incluyendo el informe de hallazgos y los planes de acción ejecutados. ¿Qué evidencia objetiva presenta el auditado? Documentos de referencia: GMC-FR09 (Informe de auditoría, si corresponde a auditorías SAGRILAFT/documentad), GCP-MT01 (Matriz de Criticidad Asociados de Negocio Proveedores)?</t>
  </si>
  <si>
    <t>¿Verifique el documento GCP-GU09 (Guía de vinculación y actualización de proveedores). ¿Está vigente, identificado en el SGD, aprobado por la autoridad competente y en aplicación para el requisito OEA 1.3?</t>
  </si>
  <si>
    <t>¿Verifique el documento GCP-FR02 (Informe de Debida Diligencia). ¿Está vigente, identificado en el SGD, aprobado por la autoridad competente y en aplicación para el requisito OEA 1.3?</t>
  </si>
  <si>
    <t>¿Verifique el documento GCP-FR50 (Anexo Análisis Financiero del Proveedor). ¿Está vigente, identificado en el SGD, aprobado por la autoridad competente y en aplicación para el requisito OEA 1.3?</t>
  </si>
  <si>
    <t>OEA 1.5</t>
  </si>
  <si>
    <t>Realizar y documentar una visita de vinculación y en adelante visitas bienales a las instalaciones donde sus asociados de negocio desarrollan sus operaciones, con el fin de verificar el cumplimiento requisitos, mínimos de seguridad en la cadena de suministro internacional.</t>
  </si>
  <si>
    <t>¿Mencione el documento con el procedimiento para aplicar el control de la visita de seguridad. Indique la ubicación en el documento (numeral, ítem, párrafos, página, etc.) Indique versión, fecha e identificación en el SGD. Para sustentar, presente evidencia documental vigente de Colombian Mint, tales como: GCP-FR38 (Visita de Seguridad Asociado de Negocio Proveedor Minerales y Concentr), GCP-FR58 (Visita de Seguridad Asociado de Negocio (cliente))?</t>
  </si>
  <si>
    <t>¿Mencione el formato o plantilla utilizado para documentar la visita realizada los asociados de negocio. Indique versión, fecha e identificación en el SGD. Para sustentar, presente evidencia documental vigente de Colombian Mint, tales como: GCP-MT01 (Matriz de Criticidad Asociados de Negocio Proveedores), GCP-MT02 (Matriz de Criticidad Asociados de Negocio Clientes)?</t>
  </si>
  <si>
    <t>¿Relacione los asociados de negocio y la fecha en que se les realizó visitas de vinculación y bienales, con posterioridad a la autorización o a la última revalidación. ¿Qué registros o documentos (GCP-MT01 (Matriz de Criticidad Asociados de Negocio Proveedores), GCP-MT02 (Matriz de Criticidad Asociados de Negocio Clientes)) demuestran el cumplimiento de lo solicitado?</t>
  </si>
  <si>
    <t>¿Tiene implementado planes de mejora en caso de que el asociado de negocio muestre incumplimiento de las medadas de seguridad. ¿Qué registros o documentos (GCP-FR38 (Visita de Seguridad Asociado de Negocio Proveedor Minerales y Concentr), GCP-FR58 (Visita de Seguridad Asociado de Negocio (cliente))) demuestran el cumplimiento de lo solicitado?</t>
  </si>
  <si>
    <t>¿Quién realiza las visitas de seguridad a los asociados de negocio de criticidad alta. ¿Qué registros o documentos (GCP-MT01 (Matriz de Criticidad Asociados de Negocio Proveedores), GCP-MT02 (Matriz de Criticidad Asociados de Negocio Clientes)) demuestran el cumplimiento de lo solicitado?</t>
  </si>
  <si>
    <t>¿Cargue las evidencias de implementación (Ej. Manual, procedimiento, instructivo, registro de verificación de cumplimiento de requisitos, registro fotográfico de las instalaciones y localización, informes de visita, cronogramas etc.). Para sustentar, presente evidencia documental vigente de Colombian Mint, tales como: GCP-FR38 (Visita de Seguridad Asociado de Negocio Proveedor Minerales y Concentr), GCP-FR58 (Visita de Seguridad Asociado de Negocio (cliente))?</t>
  </si>
  <si>
    <t>¿según criterios de auditoría OEA (ISO 19011) para el requisito OEA 1.5: Registro de visitas. ¿Qué evidencia objetiva presenta el auditado? Documentos de referencia: GCP-MT01 (Matriz de Criticidad Asociados de Negocio Proveedores), GCP-MT02 (Matriz de Criticidad Asociados de Negocio Clientes)?</t>
  </si>
  <si>
    <t>¿Verifique el documento GCP-FR61 (Visita de Seguridad Asociado de Negocio). ¿Está vigente, identificado en el SGD, aprobado por la autoridad competente y en aplicación para el requisito OEA 1.5?</t>
  </si>
  <si>
    <t>¿Verifique el documento GCV-FR01 (Cuestionario de Evaluación Visita a Planta). ¿Está vigente, identificado en el SGD, aprobado por la autoridad competente y en aplicación para el requisito OEA 1.5?</t>
  </si>
  <si>
    <t>¿Verifique el documento GCP-CO01 (Informe Visitas de Campo Cumplimiento.). ¿Está vigente, identificado en el SGD, aprobado por la autoridad competente y en aplicación para el requisito OEA 1.5?</t>
  </si>
  <si>
    <t>OEA 1.6</t>
  </si>
  <si>
    <t>Exigir a sus proveedores un plan de contingencia de su actividad que garantice el desarrollo óptimo de las operaciones contratadas.</t>
  </si>
  <si>
    <t>¿Cuenta con un documento(s) con los lineamientos para exigir a los proveedores el Plan de Contingencia? indique la ubicación en el documento (numeral, ítem, párrafos, página, etc.) Indique versión, fecha e identificación en el SGD. Para sustentar, presente evidencia documental vigente de Colombian Mint, tales como: GCP-FR23 (y GCP-FR24 formatos de conocimiento de proveedor con verificación de p), GCP-GU03 (Política y procedimiento para la compra y contratación de proveedores )?</t>
  </si>
  <si>
    <t>¿Mencione la metodología para exigir el plan de contingencia a sus asociados de negocios. Para sustentar, presente evidencia documental vigente de Colombian Mint, tales como: GCP-FR23 (y GCP-FR24 formatos de conocimiento de proveedor con verificación de p), GCP-GU03 (Política y procedimiento para la compra y contratación de proveedores )?</t>
  </si>
  <si>
    <t>¿Relacione los asociados de negocio a los que se les exigió plan de contingencia posteriores a la autorización OEA o a la última revalidación. ¿Qué registros o documentos (GCP-FR23 (y GCP-FR24 formatos de conocimiento de proveedor con verificación de p), GCP-GU03 (Política y procedimiento para la compra y contratación de proveedores )) demuestran el cumplimiento de lo solicitado?</t>
  </si>
  <si>
    <t>¿Relacione las evidencias de implementación (Ej. Manual, procedimiento, instructivo, formato de registro, correos solicitando los planes, etc.). Para sustentar, presente evidencia documental vigente de Colombian Mint, tales como: GCP-FR23 (y GCP-FR24 formatos de conocimiento de proveedor con verificación de p), GCP-GU03 (Política y procedimiento para la compra y contratación de proveedores )?</t>
  </si>
  <si>
    <t>¿según criterios de auditoría OEA (ISO 19011) para el requisito OEA 1.6: Copia de planes de contingencia de proveedores. ¿Qué evidencia objetiva presenta el auditado? Documentos de referencia: GCP-FR23 (y GCP-FR24 formatos de conocimiento de proveedor con verificación de p), GCP-GU03 (Política y procedimiento para la compra y contratación de proveedores )?</t>
  </si>
  <si>
    <t>¿Verifique el documento GCP-GU09 (Guía de vinculación y actualización de proveedores). ¿Está vigente, identificado en el SGD, aprobado por la autoridad competente y en aplicación para el requisito OEA 1.6?</t>
  </si>
  <si>
    <t>¿Verifique el documento GCP-CO01 (Informe Visitas de Campo Cumplimiento). ¿Está vigente, identificado en el SGD, aprobado por la autoridad competente y en aplicación para el requisito OEA 1.6?</t>
  </si>
  <si>
    <t>¿en la auditoría ARCA (marzo 2025) se registró respecto a OEA 1.6: "En la validación de los planes de contingencia se evidencia que el proveedor Brinks, no suministra el plan, solamente entrega un certificado". ¿Cuál es el estado actual de las acciones correctivas y su verificación efectiva? Evidencia de cierre sugerida: GCP-FR23 (y GCP-FR24 formatos de conocimiento de proveedor con verificación de p)?</t>
  </si>
  <si>
    <t>¿El requisito OEA 1.6 exige: "Exigir a sus proveedores un plan de contingencia de su actividad que garantice el desarrollo óptimo de las operaciones contratadas." ¿Qué controles operativos y registros demuestran su cumplimiento sostenido en Colombian Mint?</t>
  </si>
  <si>
    <t>¿Presente el PVR-PR01 y sus registros asociados. ¿Con qué periodicidad se actualiza, quién es el responsable y cómo se evidencia su aplicación al requisito OEA 1.6?</t>
  </si>
  <si>
    <t>OEA 2.1</t>
  </si>
  <si>
    <t>Debe tener procedimientos documentados para la selección, evaluación y conocimiento de sus asociados de negocio que garanticen su confiabilidad.</t>
  </si>
  <si>
    <t>¿Mencione el documento(s) con el procedimiento para la selección, evaluación y conocimiento de los asociados de negocio, y si hubo cambios en la metodología. indique la ubicación en el documento (numeral, ítem, párrafos, página, etc.) Indique versión, fecha e identificación en el SGD. Para sustentar, presente evidencia documental vigente de Colombian Mint, tales como: GCP-MT01 (Matriz de Criticidad Asociados de Negocio Proveedores), GCP-MT02 (Matriz de Criticidad Asociados de Negocio Clientes)?</t>
  </si>
  <si>
    <t>¿El Manual SARLAFT o SAGRILAFT contiene controles para la selección, evaluación y conocimiento de los asociados de negocios? indique la ubicación en el documento (numeral, ítem, párrafos, página, etc.) Indique versión, fecha e identificación en el SGD. Para sustentar, presente evidencia documental vigente de Colombian Mint, tales como: GCP-MT01 (Matriz de Criticidad Asociados de Negocio Proveedores), GCP-MT02 (Matriz de Criticidad Asociados de Negocio Clientes)?</t>
  </si>
  <si>
    <t>¿Mencione el formato(s) o plantilla utilizada para documentar la evaluación y conocimiento de los asociados de negocio. Indique versión, fecha e identificación en el SGD. Para sustentar, presente evidencia documental vigente de Colombian Mint, tales como: GCP-MT01 (Matriz de Criticidad Asociados de Negocio Proveedores), GCP-MT02 (Matriz de Criticidad Asociados de Negocio Clientes)?</t>
  </si>
  <si>
    <t>¿Cuenta con un mecanismo para consultar si un asociado de negocio se encuentra en listas restrictivas o vinculantes? ¿Con qué periodicidad realiza la verificación? ¿Esta actividad se encuentra tercerizada? mencionar proveedor del servicio. ¿Qué registros o documentos (GCP-MT01 (Matriz de Criticidad Asociados de Negocio Proveedores), GCP-GU10 (Nivel de criticidad asociados de negocio proveedores)) demuestran el cumplimiento de lo solicitado?</t>
  </si>
  <si>
    <t>¿Relacione los asociados de negocio a quienes se les aplicó el procedimiento de selección, evaluación y conocimiento, con posterioridad a la autorización o a la última revalidación. Para sustentar, presente evidencia documental vigente de Colombian Mint, tales como: GCP-MT01 (Matriz de Criticidad Asociados de Negocio Proveedores), GCP-MT02 (Matriz de Criticidad Asociados de Negocio Clientes)?</t>
  </si>
  <si>
    <t>¿Relacione las evidencias de implementación (Ej. Procedimientos y/o instructivos, registros de procesos de selección, captura de pantalla de creación de asociados de negocio en el sistema, certificado o registro de búsqueda en lista restrictiva, etc.). Para sustentar, presente evidencia documental vigente de Colombian Mint, tales como: GCP-MT01 (Matriz de Criticidad Asociados de Negocio Proveedores), GCP-MT02 (Matriz de Criticidad Asociados de Negocio Clientes)?</t>
  </si>
  <si>
    <t>¿según criterios de auditoría OEA (ISO 19011) para el requisito OEA 2.1: Procedimiento documentado de selección de asociados de negocio: Manual o documento que describa el proceso detallado para la selección y evaluación de los asociados, incluyendo criterios de confiabilidad. ¿Qué evidencia objetiva presenta el auditado? Documentos de referencia: GCP-MT01 (Matriz de Criticidad Asociados de Negocio Proveedores), GCP-MT02 (Matriz de Criticidad Asociados de Negocio Clientes)?</t>
  </si>
  <si>
    <t>¿según criterios de auditoría OEA (ISO 19011) para el requisito OEA 2.1: Formularios de evaluación de asociados: Formularios utilizados para evaluar a cada asociado de negocio, donde se incluyan aspectos como antecedentes, historial, cumplimiento de normas de seguridad, entre otros. ¿Qué evidencia objetiva presenta el auditado? Documentos de referencia: GCP-MT01 (Matriz de Criticidad Asociados de Negocio Proveedores), GCP-MT02 (Matriz de Criticidad Asociados de Negocio Clientes)?</t>
  </si>
  <si>
    <t>¿según criterios de auditoría OEA (ISO 19011) para el requisito OEA 2.1: Registros de evaluación: Reportes o registros de las evaluaciones realizadas a los asociados de negocio, que demuestren que se ha cumplido con los procedimientos establecidos. ¿Qué evidencia objetiva presenta el auditado? Documentos de referencia: GCP-MT01 (Matriz de Criticidad Asociados de Negocio Proveedores), GCP-MT02 (Matriz de Criticidad Asociados de Negocio Clientes)?</t>
  </si>
  <si>
    <t>¿según criterios de auditoría OEA (ISO 19011) para el requisito OEA 2.1: Política de conocimiento del cliente (KYC): Documento que describa los procedimientos para conocer a los asociados de negocio y garantizar su idoneidad. ¿Qué evidencia objetiva presenta el auditado? Documentos de referencia: GCP-MT02 (Matriz de Criticidad Asociados de Negocio Clientes), GCP-GU11 (Nivel de criticidad asociados de negocio clientes)?</t>
  </si>
  <si>
    <t>OEA 2.2</t>
  </si>
  <si>
    <t>Debe identificar a sus asociados de negocio autorizados como Operador Económico Autorizado en Colombia o certificados por otro programa de seguridad administrado por una aduana extranjera.</t>
  </si>
  <si>
    <t>¿Mencione si el formato(s) o plantilla utilizada para documentar el control de selección, evaluación y conocimiento de los asociados de negocio incluye información sobre las certificaciones OEA u homologas. Indique versión, fecha e identificación en el SGD. Para sustentar, presente evidencia documental vigente de Colombian Mint, tales como: GCP-MT01 (Matriz de Criticidad Asociados de Negocio Proveedores), GCP-MT02 (Matriz de Criticidad Asociados de Negocio Clientes)?</t>
  </si>
  <si>
    <t>¿Las certificaciones OEA u homologas son evaluadas en la matriz de asociados de negocios? si no es así, mencione el formato o plantilla utilizado para realizar la verificación de los asociados de negocio que cuentan con autorización OEA u homologas. Para sustentar, presente evidencia documental vigente de Colombian Mint, tales como: GCP-MT01 (Matriz de Criticidad Asociados de Negocio Proveedores), GCP-MT02 (Matriz de Criticidad Asociados de Negocio Clientes)?</t>
  </si>
  <si>
    <t>¿Cómo verifica periódicamente las autorizaciones o certificaciones OEA requeridas, con el propósito de determinar su vigencia. ¿Qué registros o documentos (GCP-MT01 (Matriz de Criticidad Asociados de Negocio Proveedores), GCP-MT02 (Matriz de Criticidad Asociados de Negocio Clientes)) demuestran el cumplimiento de lo solicitado?</t>
  </si>
  <si>
    <t>¿Relacione los asociados de negocio OEA que cuenta con certificaciones OEA u homologas. ¿Qué registros o documentos (GCP-MT01 (Matriz de Criticidad Asociados de Negocio Proveedores), GCP-MT02 (Matriz de Criticidad Asociados de Negocio Clientes)) demuestran el cumplimiento de lo solicitado?</t>
  </si>
  <si>
    <t>¿Relacione las evidencias de implementación (Ej. Procedimientos, instructivos, registros de consulta, certificados o autorizaciones, evidencia de seguimiento, lista de chequeo, etc.). Para sustentar, presente evidencia documental vigente de Colombian Mint, tales como: GCP-MT01 (Matriz de Criticidad Asociados de Negocio Proveedores), GCP-MT02 (Matriz de Criticidad Asociados de Negocio Clientes)?</t>
  </si>
  <si>
    <t>¿según criterios de auditoría OEA (ISO 19011) para el requisito OEA 2.2: Lista de asociados de negocio: Documento con la identificación de los asociados de negocio que son Operadores Económicos Autorizados (OEA) en Colombia o están certificados por programas de seguridad de aduanas extranjeras. ¿Qué evidencia objetiva presenta el auditado? Documentos de referencia: GCP-MT01 (Matriz de Criticidad Asociados de Negocio Proveedores), GCP-MT02 (Matriz de Criticidad Asociados de Negocio Clientes)?</t>
  </si>
  <si>
    <t>¿según criterios de auditoría OEA (ISO 19011) para el requisito OEA 2.2: Correspondencia oficial: Comunicaciones o notificaciones que demuestren que los asociados están reconocidos como OEA o están certificados en programas de seguridad aduanera en el extranjero. ¿Qué evidencia objetiva presenta el auditado? Documentos de referencia: GCP-MT01 (Matriz de Criticidad Asociados de Negocio Proveedores), GCP-MT02 (Matriz de Criticidad Asociados de Negocio Clientes)?</t>
  </si>
  <si>
    <t>¿según criterios de auditoría OEA (ISO 19011) para el requisito OEA 2.2: Registros de GPS y Monitoreo de Rutas: Reportes de la plataforma de seguimiento para los transportes terrestres. ¿Qué evidencia objetiva presenta el auditado? Documentos de referencia: GCP-MT01 (Matriz de Criticidad Asociados de Negocio Proveedores), GCP-MT02 (Matriz de Criticidad Asociados de Negocio Clientes)?</t>
  </si>
  <si>
    <t>¿según criterios de auditoría OEA (ISO 19011) para el requisito OEA 2.2: Registros de Bodega (Bulkmatic/Impala): Documentos de ingreso, salida, almacenamiento en estanterías y registros del llenado de contenedores. ¿Qué evidencia objetiva presenta el auditado? Documentos de referencia: SRF-FR18 (Inspección de contenedores marítimos), GCP-MT01 (Matriz de Criticidad Asociados de Negocio Proveedores)?</t>
  </si>
  <si>
    <t>¿según criterios de auditoría OEA (ISO 19011) para el requisito OEA 2.2: Registros de Precintos: Control y registro de los precintos de alta seguridad utilizados en los contenedores. ¿Qué evidencia objetiva presenta el auditado? Documentos de referencia: SRF-FR12 (Control y Registro de Sellos y Precintos), GPC-FR06 (Control y registro material de empaque y embalaje)?</t>
  </si>
  <si>
    <t>OEA 5.7</t>
  </si>
  <si>
    <t>Debe tener implementado un código de ética que contenga las reglas de comportamiento orientadas a asegurar la transparencia en el ejercicio de su actividad.</t>
  </si>
  <si>
    <t>¿Mencione el Código de Ética de la compañía y si se presentó cambios. Indique versión, fecha e identificación en el SGD. Para sustentar, presente evidencia documental vigente de Colombian Mint, tales como: GCP-GU01 (Código de Ética y Buen Gobierno), GHM-FR21 (Constancia de Lectura y Compromiso del Código de Ética y Buen Gobierno)?</t>
  </si>
  <si>
    <t>¿Cómo se divulga el código de Ética en la organización. ¿Qué registros o documentos (GCP-GU01 (Código de Ética y Buen Gobierno), GHM-FR21 (Constancia de Lectura y Compromiso del Código de Ética y Buen Gobierno)) demuestran el cumplimiento de lo solicitado?</t>
  </si>
  <si>
    <t>¿Relacione las evidencias de implementación (Ej. Código de Ética, reglamento interno de trabajo con lineamientos de conducta, soportes de socialización del Código de Conducta, etc.). ¿Qué registros o documentos (GCP-GU01 (Código de Ética y Buen Gobierno), GHM-FR21 (Constancia de Lectura y Compromiso del Código de Ética y Buen Gobierno)) demuestran el cumplimiento de lo solicitado?</t>
  </si>
  <si>
    <t>¿según criterios de auditoría OEA (ISO 19011) para el requisito OEA 5.7: Código de Ética corporativo. ¿Qué evidencia objetiva presenta el auditado? Documentos de referencia: GCP-GU01 (Código de Ética y Buen Gobierno), GHM-FR21 (Constancia de Lectura y Compromiso del Código de Ética y Buen Gobierno)?</t>
  </si>
  <si>
    <t>¿según criterios de auditoría OEA (ISO 19011) para el requisito OEA 5.7: Registro de entrega y aceptación firmado por cada empleado. ¿Qué evidencia objetiva presenta el auditado? Documentos de referencia: SST-FR23 (Registro de inducción y reinducción.), GCP-FR10 (Declaración Conflicto de Intereses Empleados)?</t>
  </si>
  <si>
    <t>¿según criterios de auditoría OEA (ISO 19011) para el requisito OEA 5.7: Talleres o capacitaciones sobre ética empresarial (evidencias de asistencia). ¿Qué evidencia objetiva presenta el auditado? Documentos de referencia: GCP-GU04 (Guía de cumplimiento para el sistema de gestión de riesgos de soborno ), GHM-FR12 (Asistencia y evaluación de la eficacia de la formación)?</t>
  </si>
  <si>
    <t>¿según criterios de auditoría OEA (ISO 19011) para el requisito OEA 5.7: Mecanismos de reporte (buzón de quejas, línea ética, etc.). ¿Qué evidencia objetiva presenta el auditado? Documentos de referencia: GCP-GU04 (Guía de cumplimiento para el sistema de gestión de riesgos de soborno ), GCP-GU01 (Código de Ética y Buen Gobierno)?</t>
  </si>
  <si>
    <t>¿según criterios de auditoría OEA (ISO 19011) para el requisito OEA 5.7: Políticas relacionadas (regalos, donaciones, etc.), con sus respectivas constancias de socialización y firma de recibido por parte de los colaboradores. ¿Qué evidencia objetiva presenta el auditado? Documentos de referencia: GCP-GU18 (Política de Regalos), GCP-GU20 (Política de Donaciones)?</t>
  </si>
  <si>
    <t>¿Verifique el documento GCP-GU08 (Procedimiento Conflicto de Interés). ¿Está vigente, identificado en el SGD, aprobado por la autoridad competente y en aplicación para el requisito OEA 5.7?</t>
  </si>
  <si>
    <t>¿Verifique el documento GHM-FR41 (Evaluación de Eficacia de la Formación). ¿Está vigente, identificado en el SGD, aprobado por la autoridad competente y en aplicación para el requisito OEA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</si>
</sst>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5" xfId="0" applyBorder="1"/>
    <xf numFmtId="0" fontId="0" fillId="0" borderId="4"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6" xfId="0" applyBorder="1"/>
    <xf numFmtId="0" fontId="1" fillId="0" borderId="0" xfId="0" applyFont="1"/>
    <xf numFmtId="0" fontId="0" fillId="0" borderId="7"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9">
    <dxf>
      <alignment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D831F6-805F-433D-A976-3E26981AF788}" name="Tabla1" displayName="Tabla1" ref="A1:E61" totalsRowShown="0" headerRowDxfId="1" dataDxfId="0" headerRowBorderDxfId="7" tableBorderDxfId="8">
  <autoFilter ref="A1:E61" xr:uid="{8BD831F6-805F-433D-A976-3E26981AF788}"/>
  <tableColumns count="5">
    <tableColumn id="1" xr3:uid="{A2F2501A-F615-4A0F-9DB2-E7E1C81E2E17}" name="Requisito" dataDxfId="6"/>
    <tableColumn id="2" xr3:uid="{3C453BDB-44B4-4BB3-B77F-583AC77AE825}" name="Proceso" dataDxfId="5"/>
    <tableColumn id="3" xr3:uid="{2761DDAD-E2B7-4324-AB38-0EF14F80A1B8}" name="Responsable" dataDxfId="4">
      <calculatedColumnFormula>+LISTADO!$H$7</calculatedColumnFormula>
    </tableColumn>
    <tableColumn id="4" xr3:uid="{DC1FB881-1225-472D-81C0-61270A1D811D}" name="Descripción del requisito" dataDxfId="3"/>
    <tableColumn id="5" xr3:uid="{70C381AA-B3DC-4BC3-BF6B-0CEA9CA21640}" name="Preguntas Sugeridas Auditoría Interna" dataDxfId="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zoomScaleNormal="100" workbookViewId="0">
      <selection activeCell="A10" sqref="A10:L10"/>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1"/>
  <sheetViews>
    <sheetView tabSelected="1" workbookViewId="0">
      <selection activeCell="D4" sqref="D4"/>
    </sheetView>
  </sheetViews>
  <sheetFormatPr baseColWidth="10" defaultColWidth="9.140625" defaultRowHeight="15" x14ac:dyDescent="0.25"/>
  <cols>
    <col min="1" max="1" width="8.7109375" customWidth="1"/>
    <col min="2" max="2" width="15.85546875" customWidth="1"/>
    <col min="3" max="3" width="16.140625" customWidth="1"/>
    <col min="4" max="4" width="58.42578125" customWidth="1"/>
    <col min="5" max="5" width="122.42578125" customWidth="1"/>
  </cols>
  <sheetData>
    <row r="1" spans="1:5" x14ac:dyDescent="0.25">
      <c r="A1" s="48" t="s">
        <v>40</v>
      </c>
      <c r="B1" s="48" t="s">
        <v>41</v>
      </c>
      <c r="C1" s="48" t="s">
        <v>42</v>
      </c>
      <c r="D1" s="48" t="s">
        <v>43</v>
      </c>
      <c r="E1" s="49" t="s">
        <v>44</v>
      </c>
    </row>
    <row r="2" spans="1:5" ht="60" x14ac:dyDescent="0.25">
      <c r="A2" s="50" t="s">
        <v>45</v>
      </c>
      <c r="B2" s="50" t="s">
        <v>9</v>
      </c>
      <c r="C2" s="50" t="str">
        <f>+LISTADO!$H$7</f>
        <v>Estefanía Granda / Lorena Gil</v>
      </c>
      <c r="D2" s="50" t="s">
        <v>46</v>
      </c>
      <c r="E2" s="50" t="s">
        <v>47</v>
      </c>
    </row>
    <row r="3" spans="1:5" ht="45" x14ac:dyDescent="0.25">
      <c r="A3" s="50" t="s">
        <v>45</v>
      </c>
      <c r="B3" s="50" t="s">
        <v>9</v>
      </c>
      <c r="C3" s="50" t="str">
        <f>+LISTADO!$H$7</f>
        <v>Estefanía Granda / Lorena Gil</v>
      </c>
      <c r="D3" s="50" t="s">
        <v>46</v>
      </c>
      <c r="E3" s="50" t="s">
        <v>48</v>
      </c>
    </row>
    <row r="4" spans="1:5" ht="45" x14ac:dyDescent="0.25">
      <c r="A4" s="50" t="s">
        <v>45</v>
      </c>
      <c r="B4" s="50" t="s">
        <v>9</v>
      </c>
      <c r="C4" s="50" t="str">
        <f>+LISTADO!$H$7</f>
        <v>Estefanía Granda / Lorena Gil</v>
      </c>
      <c r="D4" s="50" t="s">
        <v>46</v>
      </c>
      <c r="E4" s="50" t="s">
        <v>49</v>
      </c>
    </row>
    <row r="5" spans="1:5" ht="45" x14ac:dyDescent="0.25">
      <c r="A5" s="50" t="s">
        <v>45</v>
      </c>
      <c r="B5" s="50" t="s">
        <v>9</v>
      </c>
      <c r="C5" s="50" t="str">
        <f>+LISTADO!$H$7</f>
        <v>Estefanía Granda / Lorena Gil</v>
      </c>
      <c r="D5" s="50" t="s">
        <v>46</v>
      </c>
      <c r="E5" s="50" t="s">
        <v>50</v>
      </c>
    </row>
    <row r="6" spans="1:5" ht="45" x14ac:dyDescent="0.25">
      <c r="A6" s="50" t="s">
        <v>45</v>
      </c>
      <c r="B6" s="50" t="s">
        <v>9</v>
      </c>
      <c r="C6" s="50" t="str">
        <f>+LISTADO!$H$7</f>
        <v>Estefanía Granda / Lorena Gil</v>
      </c>
      <c r="D6" s="50" t="s">
        <v>46</v>
      </c>
      <c r="E6" s="50" t="s">
        <v>51</v>
      </c>
    </row>
    <row r="7" spans="1:5" ht="45" x14ac:dyDescent="0.25">
      <c r="A7" s="50" t="s">
        <v>45</v>
      </c>
      <c r="B7" s="50" t="s">
        <v>9</v>
      </c>
      <c r="C7" s="50" t="str">
        <f>+LISTADO!$H$7</f>
        <v>Estefanía Granda / Lorena Gil</v>
      </c>
      <c r="D7" s="50" t="s">
        <v>46</v>
      </c>
      <c r="E7" s="50" t="s">
        <v>52</v>
      </c>
    </row>
    <row r="8" spans="1:5" ht="60" x14ac:dyDescent="0.25">
      <c r="A8" s="50" t="s">
        <v>45</v>
      </c>
      <c r="B8" s="50" t="s">
        <v>9</v>
      </c>
      <c r="C8" s="50" t="str">
        <f>+LISTADO!$H$7</f>
        <v>Estefanía Granda / Lorena Gil</v>
      </c>
      <c r="D8" s="50" t="s">
        <v>46</v>
      </c>
      <c r="E8" s="50" t="s">
        <v>53</v>
      </c>
    </row>
    <row r="9" spans="1:5" ht="30" x14ac:dyDescent="0.25">
      <c r="A9" s="50" t="s">
        <v>45</v>
      </c>
      <c r="B9" s="50" t="s">
        <v>9</v>
      </c>
      <c r="C9" s="50" t="str">
        <f>+LISTADO!$H$7</f>
        <v>Estefanía Granda / Lorena Gil</v>
      </c>
      <c r="D9" s="50" t="s">
        <v>46</v>
      </c>
      <c r="E9" s="50" t="s">
        <v>54</v>
      </c>
    </row>
    <row r="10" spans="1:5" ht="30" x14ac:dyDescent="0.25">
      <c r="A10" s="50" t="s">
        <v>45</v>
      </c>
      <c r="B10" s="50" t="s">
        <v>9</v>
      </c>
      <c r="C10" s="50" t="str">
        <f>+LISTADO!$H$7</f>
        <v>Estefanía Granda / Lorena Gil</v>
      </c>
      <c r="D10" s="50" t="s">
        <v>46</v>
      </c>
      <c r="E10" s="50" t="s">
        <v>55</v>
      </c>
    </row>
    <row r="11" spans="1:5" ht="30" x14ac:dyDescent="0.25">
      <c r="A11" s="50" t="s">
        <v>45</v>
      </c>
      <c r="B11" s="50" t="s">
        <v>9</v>
      </c>
      <c r="C11" s="50" t="str">
        <f>+LISTADO!$H$7</f>
        <v>Estefanía Granda / Lorena Gil</v>
      </c>
      <c r="D11" s="50" t="s">
        <v>46</v>
      </c>
      <c r="E11" s="50" t="s">
        <v>56</v>
      </c>
    </row>
    <row r="12" spans="1:5" ht="75" x14ac:dyDescent="0.25">
      <c r="A12" s="50" t="s">
        <v>57</v>
      </c>
      <c r="B12" s="50" t="s">
        <v>9</v>
      </c>
      <c r="C12" s="50" t="str">
        <f>+LISTADO!$H$7</f>
        <v>Estefanía Granda / Lorena Gil</v>
      </c>
      <c r="D12" s="50" t="s">
        <v>58</v>
      </c>
      <c r="E12" s="50" t="s">
        <v>59</v>
      </c>
    </row>
    <row r="13" spans="1:5" ht="75" x14ac:dyDescent="0.25">
      <c r="A13" s="50" t="s">
        <v>57</v>
      </c>
      <c r="B13" s="50" t="s">
        <v>9</v>
      </c>
      <c r="C13" s="50" t="str">
        <f>+LISTADO!$H$7</f>
        <v>Estefanía Granda / Lorena Gil</v>
      </c>
      <c r="D13" s="50" t="s">
        <v>58</v>
      </c>
      <c r="E13" s="50" t="s">
        <v>60</v>
      </c>
    </row>
    <row r="14" spans="1:5" ht="75" x14ac:dyDescent="0.25">
      <c r="A14" s="50" t="s">
        <v>57</v>
      </c>
      <c r="B14" s="50" t="s">
        <v>9</v>
      </c>
      <c r="C14" s="50" t="str">
        <f>+LISTADO!$H$7</f>
        <v>Estefanía Granda / Lorena Gil</v>
      </c>
      <c r="D14" s="50" t="s">
        <v>58</v>
      </c>
      <c r="E14" s="50" t="s">
        <v>61</v>
      </c>
    </row>
    <row r="15" spans="1:5" ht="75" x14ac:dyDescent="0.25">
      <c r="A15" s="50" t="s">
        <v>57</v>
      </c>
      <c r="B15" s="50" t="s">
        <v>9</v>
      </c>
      <c r="C15" s="50" t="str">
        <f>+LISTADO!$H$7</f>
        <v>Estefanía Granda / Lorena Gil</v>
      </c>
      <c r="D15" s="50" t="s">
        <v>58</v>
      </c>
      <c r="E15" s="50" t="s">
        <v>62</v>
      </c>
    </row>
    <row r="16" spans="1:5" ht="75" x14ac:dyDescent="0.25">
      <c r="A16" s="50" t="s">
        <v>57</v>
      </c>
      <c r="B16" s="50" t="s">
        <v>9</v>
      </c>
      <c r="C16" s="50" t="str">
        <f>+LISTADO!$H$7</f>
        <v>Estefanía Granda / Lorena Gil</v>
      </c>
      <c r="D16" s="50" t="s">
        <v>58</v>
      </c>
      <c r="E16" s="50" t="s">
        <v>63</v>
      </c>
    </row>
    <row r="17" spans="1:5" ht="75" x14ac:dyDescent="0.25">
      <c r="A17" s="50" t="s">
        <v>57</v>
      </c>
      <c r="B17" s="50" t="s">
        <v>9</v>
      </c>
      <c r="C17" s="50" t="str">
        <f>+LISTADO!$H$7</f>
        <v>Estefanía Granda / Lorena Gil</v>
      </c>
      <c r="D17" s="50" t="s">
        <v>58</v>
      </c>
      <c r="E17" s="50" t="s">
        <v>64</v>
      </c>
    </row>
    <row r="18" spans="1:5" ht="75" x14ac:dyDescent="0.25">
      <c r="A18" s="50" t="s">
        <v>57</v>
      </c>
      <c r="B18" s="50" t="s">
        <v>9</v>
      </c>
      <c r="C18" s="50" t="str">
        <f>+LISTADO!$H$7</f>
        <v>Estefanía Granda / Lorena Gil</v>
      </c>
      <c r="D18" s="50" t="s">
        <v>58</v>
      </c>
      <c r="E18" s="50" t="s">
        <v>65</v>
      </c>
    </row>
    <row r="19" spans="1:5" ht="75" x14ac:dyDescent="0.25">
      <c r="A19" s="50" t="s">
        <v>57</v>
      </c>
      <c r="B19" s="50" t="s">
        <v>9</v>
      </c>
      <c r="C19" s="50" t="str">
        <f>+LISTADO!$H$7</f>
        <v>Estefanía Granda / Lorena Gil</v>
      </c>
      <c r="D19" s="50" t="s">
        <v>58</v>
      </c>
      <c r="E19" s="50" t="s">
        <v>66</v>
      </c>
    </row>
    <row r="20" spans="1:5" ht="75" x14ac:dyDescent="0.25">
      <c r="A20" s="50" t="s">
        <v>57</v>
      </c>
      <c r="B20" s="50" t="s">
        <v>9</v>
      </c>
      <c r="C20" s="50" t="str">
        <f>+LISTADO!$H$7</f>
        <v>Estefanía Granda / Lorena Gil</v>
      </c>
      <c r="D20" s="50" t="s">
        <v>58</v>
      </c>
      <c r="E20" s="50" t="s">
        <v>67</v>
      </c>
    </row>
    <row r="21" spans="1:5" ht="75" x14ac:dyDescent="0.25">
      <c r="A21" s="50" t="s">
        <v>57</v>
      </c>
      <c r="B21" s="50" t="s">
        <v>9</v>
      </c>
      <c r="C21" s="50" t="str">
        <f>+LISTADO!$H$7</f>
        <v>Estefanía Granda / Lorena Gil</v>
      </c>
      <c r="D21" s="50" t="s">
        <v>58</v>
      </c>
      <c r="E21" s="50" t="s">
        <v>68</v>
      </c>
    </row>
    <row r="22" spans="1:5" ht="60" x14ac:dyDescent="0.25">
      <c r="A22" s="50" t="s">
        <v>69</v>
      </c>
      <c r="B22" s="50" t="s">
        <v>9</v>
      </c>
      <c r="C22" s="50" t="str">
        <f>+LISTADO!$H$7</f>
        <v>Estefanía Granda / Lorena Gil</v>
      </c>
      <c r="D22" s="50" t="s">
        <v>70</v>
      </c>
      <c r="E22" s="50" t="s">
        <v>71</v>
      </c>
    </row>
    <row r="23" spans="1:5" ht="45" x14ac:dyDescent="0.25">
      <c r="A23" s="50" t="s">
        <v>69</v>
      </c>
      <c r="B23" s="50" t="s">
        <v>9</v>
      </c>
      <c r="C23" s="50" t="str">
        <f>+LISTADO!$H$7</f>
        <v>Estefanía Granda / Lorena Gil</v>
      </c>
      <c r="D23" s="50" t="s">
        <v>70</v>
      </c>
      <c r="E23" s="50" t="s">
        <v>72</v>
      </c>
    </row>
    <row r="24" spans="1:5" ht="45" x14ac:dyDescent="0.25">
      <c r="A24" s="50" t="s">
        <v>69</v>
      </c>
      <c r="B24" s="50" t="s">
        <v>9</v>
      </c>
      <c r="C24" s="50" t="str">
        <f>+LISTADO!$H$7</f>
        <v>Estefanía Granda / Lorena Gil</v>
      </c>
      <c r="D24" s="50" t="s">
        <v>70</v>
      </c>
      <c r="E24" s="50" t="s">
        <v>73</v>
      </c>
    </row>
    <row r="25" spans="1:5" ht="60" x14ac:dyDescent="0.25">
      <c r="A25" s="50" t="s">
        <v>69</v>
      </c>
      <c r="B25" s="50" t="s">
        <v>9</v>
      </c>
      <c r="C25" s="50" t="str">
        <f>+LISTADO!$H$7</f>
        <v>Estefanía Granda / Lorena Gil</v>
      </c>
      <c r="D25" s="50" t="s">
        <v>70</v>
      </c>
      <c r="E25" s="50" t="s">
        <v>74</v>
      </c>
    </row>
    <row r="26" spans="1:5" ht="45" x14ac:dyDescent="0.25">
      <c r="A26" s="50" t="s">
        <v>69</v>
      </c>
      <c r="B26" s="50" t="s">
        <v>9</v>
      </c>
      <c r="C26" s="50" t="str">
        <f>+LISTADO!$H$7</f>
        <v>Estefanía Granda / Lorena Gil</v>
      </c>
      <c r="D26" s="50" t="s">
        <v>70</v>
      </c>
      <c r="E26" s="50" t="s">
        <v>75</v>
      </c>
    </row>
    <row r="27" spans="1:5" ht="45" x14ac:dyDescent="0.25">
      <c r="A27" s="50" t="s">
        <v>69</v>
      </c>
      <c r="B27" s="50" t="s">
        <v>9</v>
      </c>
      <c r="C27" s="50" t="str">
        <f>+LISTADO!$H$7</f>
        <v>Estefanía Granda / Lorena Gil</v>
      </c>
      <c r="D27" s="50" t="s">
        <v>70</v>
      </c>
      <c r="E27" s="50" t="s">
        <v>76</v>
      </c>
    </row>
    <row r="28" spans="1:5" ht="45" x14ac:dyDescent="0.25">
      <c r="A28" s="50" t="s">
        <v>69</v>
      </c>
      <c r="B28" s="50" t="s">
        <v>9</v>
      </c>
      <c r="C28" s="50" t="str">
        <f>+LISTADO!$H$7</f>
        <v>Estefanía Granda / Lorena Gil</v>
      </c>
      <c r="D28" s="50" t="s">
        <v>70</v>
      </c>
      <c r="E28" s="50" t="s">
        <v>77</v>
      </c>
    </row>
    <row r="29" spans="1:5" ht="60" x14ac:dyDescent="0.25">
      <c r="A29" s="50" t="s">
        <v>69</v>
      </c>
      <c r="B29" s="50" t="s">
        <v>9</v>
      </c>
      <c r="C29" s="50" t="str">
        <f>+LISTADO!$H$7</f>
        <v>Estefanía Granda / Lorena Gil</v>
      </c>
      <c r="D29" s="50" t="s">
        <v>70</v>
      </c>
      <c r="E29" s="50" t="s">
        <v>78</v>
      </c>
    </row>
    <row r="30" spans="1:5" ht="45" x14ac:dyDescent="0.25">
      <c r="A30" s="50" t="s">
        <v>69</v>
      </c>
      <c r="B30" s="50" t="s">
        <v>9</v>
      </c>
      <c r="C30" s="50" t="str">
        <f>+LISTADO!$H$7</f>
        <v>Estefanía Granda / Lorena Gil</v>
      </c>
      <c r="D30" s="50" t="s">
        <v>70</v>
      </c>
      <c r="E30" s="50" t="s">
        <v>79</v>
      </c>
    </row>
    <row r="31" spans="1:5" ht="45" x14ac:dyDescent="0.25">
      <c r="A31" s="50" t="s">
        <v>69</v>
      </c>
      <c r="B31" s="50" t="s">
        <v>9</v>
      </c>
      <c r="C31" s="50" t="str">
        <f>+LISTADO!$H$7</f>
        <v>Estefanía Granda / Lorena Gil</v>
      </c>
      <c r="D31" s="50" t="s">
        <v>70</v>
      </c>
      <c r="E31" s="50" t="s">
        <v>80</v>
      </c>
    </row>
    <row r="32" spans="1:5" ht="60" x14ac:dyDescent="0.25">
      <c r="A32" s="50" t="s">
        <v>81</v>
      </c>
      <c r="B32" s="50" t="s">
        <v>9</v>
      </c>
      <c r="C32" s="50" t="str">
        <f>+LISTADO!$H$7</f>
        <v>Estefanía Granda / Lorena Gil</v>
      </c>
      <c r="D32" s="50" t="s">
        <v>82</v>
      </c>
      <c r="E32" s="50" t="s">
        <v>83</v>
      </c>
    </row>
    <row r="33" spans="1:5" ht="60" x14ac:dyDescent="0.25">
      <c r="A33" s="50" t="s">
        <v>81</v>
      </c>
      <c r="B33" s="50" t="s">
        <v>9</v>
      </c>
      <c r="C33" s="50" t="str">
        <f>+LISTADO!$H$7</f>
        <v>Estefanía Granda / Lorena Gil</v>
      </c>
      <c r="D33" s="50" t="s">
        <v>82</v>
      </c>
      <c r="E33" s="50" t="s">
        <v>84</v>
      </c>
    </row>
    <row r="34" spans="1:5" ht="45" x14ac:dyDescent="0.25">
      <c r="A34" s="50" t="s">
        <v>81</v>
      </c>
      <c r="B34" s="50" t="s">
        <v>9</v>
      </c>
      <c r="C34" s="50" t="str">
        <f>+LISTADO!$H$7</f>
        <v>Estefanía Granda / Lorena Gil</v>
      </c>
      <c r="D34" s="50" t="s">
        <v>82</v>
      </c>
      <c r="E34" s="50" t="s">
        <v>85</v>
      </c>
    </row>
    <row r="35" spans="1:5" ht="60" x14ac:dyDescent="0.25">
      <c r="A35" s="50" t="s">
        <v>81</v>
      </c>
      <c r="B35" s="50" t="s">
        <v>9</v>
      </c>
      <c r="C35" s="50" t="str">
        <f>+LISTADO!$H$7</f>
        <v>Estefanía Granda / Lorena Gil</v>
      </c>
      <c r="D35" s="50" t="s">
        <v>82</v>
      </c>
      <c r="E35" s="50" t="s">
        <v>86</v>
      </c>
    </row>
    <row r="36" spans="1:5" ht="60" x14ac:dyDescent="0.25">
      <c r="A36" s="50" t="s">
        <v>81</v>
      </c>
      <c r="B36" s="50" t="s">
        <v>9</v>
      </c>
      <c r="C36" s="50" t="str">
        <f>+LISTADO!$H$7</f>
        <v>Estefanía Granda / Lorena Gil</v>
      </c>
      <c r="D36" s="50" t="s">
        <v>82</v>
      </c>
      <c r="E36" s="50" t="s">
        <v>87</v>
      </c>
    </row>
    <row r="37" spans="1:5" ht="60" x14ac:dyDescent="0.25">
      <c r="A37" s="50" t="s">
        <v>81</v>
      </c>
      <c r="B37" s="50" t="s">
        <v>9</v>
      </c>
      <c r="C37" s="50" t="str">
        <f>+LISTADO!$H$7</f>
        <v>Estefanía Granda / Lorena Gil</v>
      </c>
      <c r="D37" s="50" t="s">
        <v>82</v>
      </c>
      <c r="E37" s="50" t="s">
        <v>88</v>
      </c>
    </row>
    <row r="38" spans="1:5" ht="60" x14ac:dyDescent="0.25">
      <c r="A38" s="50" t="s">
        <v>81</v>
      </c>
      <c r="B38" s="50" t="s">
        <v>9</v>
      </c>
      <c r="C38" s="50" t="str">
        <f>+LISTADO!$H$7</f>
        <v>Estefanía Granda / Lorena Gil</v>
      </c>
      <c r="D38" s="50" t="s">
        <v>82</v>
      </c>
      <c r="E38" s="50" t="s">
        <v>89</v>
      </c>
    </row>
    <row r="39" spans="1:5" ht="60" x14ac:dyDescent="0.25">
      <c r="A39" s="50" t="s">
        <v>81</v>
      </c>
      <c r="B39" s="50" t="s">
        <v>9</v>
      </c>
      <c r="C39" s="50" t="str">
        <f>+LISTADO!$H$7</f>
        <v>Estefanía Granda / Lorena Gil</v>
      </c>
      <c r="D39" s="50" t="s">
        <v>82</v>
      </c>
      <c r="E39" s="50" t="s">
        <v>90</v>
      </c>
    </row>
    <row r="40" spans="1:5" ht="60" x14ac:dyDescent="0.25">
      <c r="A40" s="50" t="s">
        <v>81</v>
      </c>
      <c r="B40" s="50" t="s">
        <v>9</v>
      </c>
      <c r="C40" s="50" t="str">
        <f>+LISTADO!$H$7</f>
        <v>Estefanía Granda / Lorena Gil</v>
      </c>
      <c r="D40" s="50" t="s">
        <v>82</v>
      </c>
      <c r="E40" s="50" t="s">
        <v>91</v>
      </c>
    </row>
    <row r="41" spans="1:5" ht="60" x14ac:dyDescent="0.25">
      <c r="A41" s="50" t="s">
        <v>81</v>
      </c>
      <c r="B41" s="50" t="s">
        <v>9</v>
      </c>
      <c r="C41" s="50" t="str">
        <f>+LISTADO!$H$7</f>
        <v>Estefanía Granda / Lorena Gil</v>
      </c>
      <c r="D41" s="50" t="s">
        <v>82</v>
      </c>
      <c r="E41" s="50" t="s">
        <v>92</v>
      </c>
    </row>
    <row r="42" spans="1:5" ht="60" x14ac:dyDescent="0.25">
      <c r="A42" s="50" t="s">
        <v>93</v>
      </c>
      <c r="B42" s="50" t="s">
        <v>9</v>
      </c>
      <c r="C42" s="50" t="str">
        <f>+LISTADO!$H$7</f>
        <v>Estefanía Granda / Lorena Gil</v>
      </c>
      <c r="D42" s="50" t="s">
        <v>94</v>
      </c>
      <c r="E42" s="50" t="s">
        <v>95</v>
      </c>
    </row>
    <row r="43" spans="1:5" ht="60" x14ac:dyDescent="0.25">
      <c r="A43" s="50" t="s">
        <v>93</v>
      </c>
      <c r="B43" s="50" t="s">
        <v>9</v>
      </c>
      <c r="C43" s="50" t="str">
        <f>+LISTADO!$H$7</f>
        <v>Estefanía Granda / Lorena Gil</v>
      </c>
      <c r="D43" s="50" t="s">
        <v>94</v>
      </c>
      <c r="E43" s="50" t="s">
        <v>96</v>
      </c>
    </row>
    <row r="44" spans="1:5" ht="60" x14ac:dyDescent="0.25">
      <c r="A44" s="50" t="s">
        <v>93</v>
      </c>
      <c r="B44" s="50" t="s">
        <v>9</v>
      </c>
      <c r="C44" s="50" t="str">
        <f>+LISTADO!$H$7</f>
        <v>Estefanía Granda / Lorena Gil</v>
      </c>
      <c r="D44" s="50" t="s">
        <v>94</v>
      </c>
      <c r="E44" s="50" t="s">
        <v>97</v>
      </c>
    </row>
    <row r="45" spans="1:5" ht="60" x14ac:dyDescent="0.25">
      <c r="A45" s="50" t="s">
        <v>93</v>
      </c>
      <c r="B45" s="50" t="s">
        <v>9</v>
      </c>
      <c r="C45" s="50" t="str">
        <f>+LISTADO!$H$7</f>
        <v>Estefanía Granda / Lorena Gil</v>
      </c>
      <c r="D45" s="50" t="s">
        <v>94</v>
      </c>
      <c r="E45" s="50" t="s">
        <v>98</v>
      </c>
    </row>
    <row r="46" spans="1:5" ht="60" x14ac:dyDescent="0.25">
      <c r="A46" s="50" t="s">
        <v>93</v>
      </c>
      <c r="B46" s="50" t="s">
        <v>9</v>
      </c>
      <c r="C46" s="50" t="str">
        <f>+LISTADO!$H$7</f>
        <v>Estefanía Granda / Lorena Gil</v>
      </c>
      <c r="D46" s="50" t="s">
        <v>94</v>
      </c>
      <c r="E46" s="50" t="s">
        <v>99</v>
      </c>
    </row>
    <row r="47" spans="1:5" ht="60" x14ac:dyDescent="0.25">
      <c r="A47" s="50" t="s">
        <v>93</v>
      </c>
      <c r="B47" s="50" t="s">
        <v>9</v>
      </c>
      <c r="C47" s="50" t="str">
        <f>+LISTADO!$H$7</f>
        <v>Estefanía Granda / Lorena Gil</v>
      </c>
      <c r="D47" s="50" t="s">
        <v>94</v>
      </c>
      <c r="E47" s="50" t="s">
        <v>100</v>
      </c>
    </row>
    <row r="48" spans="1:5" ht="60" x14ac:dyDescent="0.25">
      <c r="A48" s="50" t="s">
        <v>93</v>
      </c>
      <c r="B48" s="50" t="s">
        <v>9</v>
      </c>
      <c r="C48" s="50" t="str">
        <f>+LISTADO!$H$7</f>
        <v>Estefanía Granda / Lorena Gil</v>
      </c>
      <c r="D48" s="50" t="s">
        <v>94</v>
      </c>
      <c r="E48" s="50" t="s">
        <v>101</v>
      </c>
    </row>
    <row r="49" spans="1:5" ht="60" x14ac:dyDescent="0.25">
      <c r="A49" s="50" t="s">
        <v>93</v>
      </c>
      <c r="B49" s="50" t="s">
        <v>9</v>
      </c>
      <c r="C49" s="50" t="str">
        <f>+LISTADO!$H$7</f>
        <v>Estefanía Granda / Lorena Gil</v>
      </c>
      <c r="D49" s="50" t="s">
        <v>94</v>
      </c>
      <c r="E49" s="50" t="s">
        <v>102</v>
      </c>
    </row>
    <row r="50" spans="1:5" ht="60" x14ac:dyDescent="0.25">
      <c r="A50" s="50" t="s">
        <v>93</v>
      </c>
      <c r="B50" s="50" t="s">
        <v>9</v>
      </c>
      <c r="C50" s="50" t="str">
        <f>+LISTADO!$H$7</f>
        <v>Estefanía Granda / Lorena Gil</v>
      </c>
      <c r="D50" s="50" t="s">
        <v>94</v>
      </c>
      <c r="E50" s="50" t="s">
        <v>103</v>
      </c>
    </row>
    <row r="51" spans="1:5" ht="60" x14ac:dyDescent="0.25">
      <c r="A51" s="50" t="s">
        <v>93</v>
      </c>
      <c r="B51" s="50" t="s">
        <v>9</v>
      </c>
      <c r="C51" s="50" t="str">
        <f>+LISTADO!$H$7</f>
        <v>Estefanía Granda / Lorena Gil</v>
      </c>
      <c r="D51" s="50" t="s">
        <v>94</v>
      </c>
      <c r="E51" s="50" t="s">
        <v>104</v>
      </c>
    </row>
    <row r="52" spans="1:5" ht="45" x14ac:dyDescent="0.25">
      <c r="A52" s="50" t="s">
        <v>105</v>
      </c>
      <c r="B52" s="50" t="s">
        <v>9</v>
      </c>
      <c r="C52" s="50" t="str">
        <f>+LISTADO!$H$7</f>
        <v>Estefanía Granda / Lorena Gil</v>
      </c>
      <c r="D52" s="50" t="s">
        <v>106</v>
      </c>
      <c r="E52" s="50" t="s">
        <v>107</v>
      </c>
    </row>
    <row r="53" spans="1:5" ht="45" x14ac:dyDescent="0.25">
      <c r="A53" s="50" t="s">
        <v>105</v>
      </c>
      <c r="B53" s="50" t="s">
        <v>9</v>
      </c>
      <c r="C53" s="50" t="str">
        <f>+LISTADO!$H$7</f>
        <v>Estefanía Granda / Lorena Gil</v>
      </c>
      <c r="D53" s="50" t="s">
        <v>106</v>
      </c>
      <c r="E53" s="50" t="s">
        <v>108</v>
      </c>
    </row>
    <row r="54" spans="1:5" ht="45" x14ac:dyDescent="0.25">
      <c r="A54" s="50" t="s">
        <v>105</v>
      </c>
      <c r="B54" s="50" t="s">
        <v>9</v>
      </c>
      <c r="C54" s="50" t="str">
        <f>+LISTADO!$H$7</f>
        <v>Estefanía Granda / Lorena Gil</v>
      </c>
      <c r="D54" s="50" t="s">
        <v>106</v>
      </c>
      <c r="E54" s="50" t="s">
        <v>109</v>
      </c>
    </row>
    <row r="55" spans="1:5" ht="45" x14ac:dyDescent="0.25">
      <c r="A55" s="50" t="s">
        <v>105</v>
      </c>
      <c r="B55" s="50" t="s">
        <v>9</v>
      </c>
      <c r="C55" s="50" t="str">
        <f>+LISTADO!$H$7</f>
        <v>Estefanía Granda / Lorena Gil</v>
      </c>
      <c r="D55" s="50" t="s">
        <v>106</v>
      </c>
      <c r="E55" s="50" t="s">
        <v>110</v>
      </c>
    </row>
    <row r="56" spans="1:5" ht="45" x14ac:dyDescent="0.25">
      <c r="A56" s="50" t="s">
        <v>105</v>
      </c>
      <c r="B56" s="50" t="s">
        <v>9</v>
      </c>
      <c r="C56" s="50" t="str">
        <f>+LISTADO!$H$7</f>
        <v>Estefanía Granda / Lorena Gil</v>
      </c>
      <c r="D56" s="50" t="s">
        <v>106</v>
      </c>
      <c r="E56" s="50" t="s">
        <v>111</v>
      </c>
    </row>
    <row r="57" spans="1:5" ht="45" x14ac:dyDescent="0.25">
      <c r="A57" s="50" t="s">
        <v>105</v>
      </c>
      <c r="B57" s="50" t="s">
        <v>9</v>
      </c>
      <c r="C57" s="50" t="str">
        <f>+LISTADO!$H$7</f>
        <v>Estefanía Granda / Lorena Gil</v>
      </c>
      <c r="D57" s="50" t="s">
        <v>106</v>
      </c>
      <c r="E57" s="50" t="s">
        <v>112</v>
      </c>
    </row>
    <row r="58" spans="1:5" ht="45" x14ac:dyDescent="0.25">
      <c r="A58" s="50" t="s">
        <v>105</v>
      </c>
      <c r="B58" s="50" t="s">
        <v>9</v>
      </c>
      <c r="C58" s="50" t="str">
        <f>+LISTADO!$H$7</f>
        <v>Estefanía Granda / Lorena Gil</v>
      </c>
      <c r="D58" s="50" t="s">
        <v>106</v>
      </c>
      <c r="E58" s="50" t="s">
        <v>113</v>
      </c>
    </row>
    <row r="59" spans="1:5" ht="45" x14ac:dyDescent="0.25">
      <c r="A59" s="50" t="s">
        <v>105</v>
      </c>
      <c r="B59" s="50" t="s">
        <v>9</v>
      </c>
      <c r="C59" s="50" t="str">
        <f>+LISTADO!$H$7</f>
        <v>Estefanía Granda / Lorena Gil</v>
      </c>
      <c r="D59" s="50" t="s">
        <v>106</v>
      </c>
      <c r="E59" s="50" t="s">
        <v>114</v>
      </c>
    </row>
    <row r="60" spans="1:5" ht="45" x14ac:dyDescent="0.25">
      <c r="A60" s="50" t="s">
        <v>105</v>
      </c>
      <c r="B60" s="50" t="s">
        <v>9</v>
      </c>
      <c r="C60" s="50" t="str">
        <f>+LISTADO!$H$7</f>
        <v>Estefanía Granda / Lorena Gil</v>
      </c>
      <c r="D60" s="50" t="s">
        <v>106</v>
      </c>
      <c r="E60" s="50" t="s">
        <v>115</v>
      </c>
    </row>
    <row r="61" spans="1:5" ht="45" x14ac:dyDescent="0.25">
      <c r="A61" s="50" t="s">
        <v>105</v>
      </c>
      <c r="B61" s="50" t="s">
        <v>9</v>
      </c>
      <c r="C61" s="50" t="str">
        <f>+LISTADO!$H$7</f>
        <v>Estefanía Granda / Lorena Gil</v>
      </c>
      <c r="D61" s="50" t="s">
        <v>106</v>
      </c>
      <c r="E61" s="50" t="s">
        <v>116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2026-06-30T11:57:27Z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